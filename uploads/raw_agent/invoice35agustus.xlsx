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35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44" i="1" l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<sst xmlns="http://schemas.openxmlformats.org/spreadsheetml/2006/main" count="1878" uniqueCount="544">
  <si>
    <t>PT.ALBACAR MEKAR NUSANTARA</t>
  </si>
  <si>
    <t>Laporan Penjualan 2026</t>
  </si>
  <si>
    <t>Dari 01 Aug 2026 ke 31 Aug 2026</t>
  </si>
  <si>
    <t>Filter berdasarkan :Nama Pemasok Utama Barang</t>
  </si>
  <si>
    <t>Nama Pemasok Utama Barang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</si>
  <si>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</si>
  <si>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</si>
  <si>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</si>
  <si>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</si>
  <si>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</si>
  <si>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</si>
  <si>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</si>
  <si>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</si>
  <si>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</si>
  <si>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</si>
  <si>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Aug</t>
  </si>
  <si>
    <t>Inc ppn 11%</t>
  </si>
  <si>
    <t>Kuantitas</t>
  </si>
  <si>
    <t>Jumlah</t>
  </si>
  <si>
    <t>Harga satuan Barang</t>
  </si>
  <si>
    <t>Joenoes Ikamulya, PT.</t>
  </si>
  <si>
    <t>31 Agu 2026</t>
  </si>
  <si>
    <t>2608/03307/AMN</t>
  </si>
  <si>
    <t>MDN01206</t>
  </si>
  <si>
    <t>Pengangkutan</t>
  </si>
  <si>
    <t>Medan</t>
  </si>
  <si>
    <t>Kelontong</t>
  </si>
  <si>
    <t>POR332490</t>
  </si>
  <si>
    <t>Porstex 2000ml WL /6</t>
  </si>
  <si>
    <t xml:space="preserve">Arifin </t>
  </si>
  <si>
    <t>2608/03002/AMN</t>
  </si>
  <si>
    <t>PLK00044</t>
  </si>
  <si>
    <t>Mitra Tk,Perlak</t>
  </si>
  <si>
    <t>Jl.Ranto Perlak</t>
  </si>
  <si>
    <t>PERLAK</t>
  </si>
  <si>
    <t>POR332290</t>
  </si>
  <si>
    <t>Porstex 500ml WL /12</t>
  </si>
  <si>
    <t>POR332390</t>
  </si>
  <si>
    <t>Porstex 1000ml WL /12</t>
  </si>
  <si>
    <t>2608/03009/AMN</t>
  </si>
  <si>
    <t>PTL00060</t>
  </si>
  <si>
    <t>Moga Baru, P. Labu</t>
  </si>
  <si>
    <t>Jl. Perdagangan - Panton Labu</t>
  </si>
  <si>
    <t>Panton Labu</t>
  </si>
  <si>
    <t>2608/03166/AMN</t>
  </si>
  <si>
    <t>LSM00092</t>
  </si>
  <si>
    <t>Tiara Jaya Makmur, UD.</t>
  </si>
  <si>
    <t>Jl. Samudera No. 132 Kp. Jawa</t>
  </si>
  <si>
    <t>Lhokseumawe</t>
  </si>
  <si>
    <t>Grosir</t>
  </si>
  <si>
    <t>29 Agu 2026</t>
  </si>
  <si>
    <t>2608/02719/AMN</t>
  </si>
  <si>
    <t>PTL00052</t>
  </si>
  <si>
    <t>Mogana</t>
  </si>
  <si>
    <t>28 Agu 2026</t>
  </si>
  <si>
    <t>2608/02552/AMN</t>
  </si>
  <si>
    <t>PSR563390</t>
  </si>
  <si>
    <t>Porstex Reguler Ocean Blue 700ml/12</t>
  </si>
  <si>
    <t>2608/02620/AMN</t>
  </si>
  <si>
    <t>LSM00046</t>
  </si>
  <si>
    <t>Asia Mark</t>
  </si>
  <si>
    <t>Jl. Darusalam Lhokseumawe</t>
  </si>
  <si>
    <t>LHOKSEUMAWE</t>
  </si>
  <si>
    <t>Swalayan</t>
  </si>
  <si>
    <t>HSP222383</t>
  </si>
  <si>
    <t>Yuri Hand Soap 410ml Grape Pump/12</t>
  </si>
  <si>
    <t>HSP222385</t>
  </si>
  <si>
    <t>Yuri Hand Soap 410ml Orange Pump/12</t>
  </si>
  <si>
    <t>HSP222386</t>
  </si>
  <si>
    <t>Yuri Hand Soap 410ml Strawberry Pump/12</t>
  </si>
  <si>
    <t>HSR222991</t>
  </si>
  <si>
    <t>Yuri Hand Soap Apple 375ml Pouch/24</t>
  </si>
  <si>
    <t>HSR222993</t>
  </si>
  <si>
    <t>Yuri Hand Soap Grape 375ml Pouchl/24</t>
  </si>
  <si>
    <t>HSR222994</t>
  </si>
  <si>
    <t>Yuri Hand Soap Lemon 375ml Pouch/24</t>
  </si>
  <si>
    <t>HSR222995</t>
  </si>
  <si>
    <t>Yuri Hand Soap Orange 375ml Pouch/24</t>
  </si>
  <si>
    <t>HSR222996</t>
  </si>
  <si>
    <t>Yuri Hand Soap Strawberry 375ml Pouch/24</t>
  </si>
  <si>
    <t>POR332280</t>
  </si>
  <si>
    <t>Porstex 500ml WB /12</t>
  </si>
  <si>
    <t>POR332380</t>
  </si>
  <si>
    <t>Porstex 1000ml WB /12</t>
  </si>
  <si>
    <t>26 Agu 2026</t>
  </si>
  <si>
    <t>2608/02268/AMN</t>
  </si>
  <si>
    <t>LSM00023</t>
  </si>
  <si>
    <t>BASRI (UD.TIA JAYA)</t>
  </si>
  <si>
    <t>Cunda,Lhokseumawe</t>
  </si>
  <si>
    <t>PKP Grosir</t>
  </si>
  <si>
    <t>PSR563290</t>
  </si>
  <si>
    <t>Porstex Reguler Ocean Blue 160ml Extra 40ml /12</t>
  </si>
  <si>
    <t>2608/02273/AMN</t>
  </si>
  <si>
    <t>KSP00011</t>
  </si>
  <si>
    <t>SANTHY KOERNIATHY (SAQINA)</t>
  </si>
  <si>
    <t>Saqinah Market II</t>
  </si>
  <si>
    <t>KUALA SIMPANG</t>
  </si>
  <si>
    <t>NPWP Market/MT</t>
  </si>
  <si>
    <t>DDR356191A</t>
  </si>
  <si>
    <t>Dee-Dee Shampoo 45ml Apple /72</t>
  </si>
  <si>
    <t>DDR356192A</t>
  </si>
  <si>
    <t>Dee-Dee Shampoo 45ml Grape /72</t>
  </si>
  <si>
    <t>DDR356194A</t>
  </si>
  <si>
    <t>Dee-Dee Shampoo 45ml Strawberry /72</t>
  </si>
  <si>
    <t>POR332480</t>
  </si>
  <si>
    <t>Porstex 2000ml WB /6</t>
  </si>
  <si>
    <t>18 Agu 2026</t>
  </si>
  <si>
    <t>2608/01501/AMN</t>
  </si>
  <si>
    <t>KBT00017</t>
  </si>
  <si>
    <t>Adi Mulia, K.Bakti</t>
  </si>
  <si>
    <t>Jl Mushola</t>
  </si>
  <si>
    <t>Kota Bakti</t>
  </si>
  <si>
    <t>Cosmetik</t>
  </si>
  <si>
    <t>14 Agu 2026</t>
  </si>
  <si>
    <t>2608/01214/AMN</t>
  </si>
  <si>
    <t>KBI00022</t>
  </si>
  <si>
    <t>Maju Jaya, K Binjai</t>
  </si>
  <si>
    <t>Kota Binjai</t>
  </si>
  <si>
    <t>13 Agu 2026</t>
  </si>
  <si>
    <t>2608/01079/AMN</t>
  </si>
  <si>
    <t>IDI00059</t>
  </si>
  <si>
    <t>Berkat Baru II</t>
  </si>
  <si>
    <t>Idi</t>
  </si>
  <si>
    <t>12 Agu 2026</t>
  </si>
  <si>
    <t>2608/00929/AMN</t>
  </si>
  <si>
    <t>KBI00012</t>
  </si>
  <si>
    <t>Natachiguna</t>
  </si>
  <si>
    <t>Jl. Pajak Kota Binjai</t>
  </si>
  <si>
    <t>2608/00974/AMN</t>
  </si>
  <si>
    <t>PTL00062</t>
  </si>
  <si>
    <t>Osama Market, Panton Labu</t>
  </si>
  <si>
    <t>Jl. Panton Labu - Panton Labu</t>
  </si>
  <si>
    <t>DDP356282</t>
  </si>
  <si>
    <t>Dee-Dee Shampoo 250ml Pump Grape /12</t>
  </si>
  <si>
    <t>DDP356284</t>
  </si>
  <si>
    <t>Dee-Dee Shampoo 250ml Pump Strawberry /12</t>
  </si>
  <si>
    <t>DDR356193A</t>
  </si>
  <si>
    <t>Dee-Dee Shampoo 45ml Orange /72</t>
  </si>
  <si>
    <t>DDR356292</t>
  </si>
  <si>
    <t>Dee-Dee Shampoo 250ml Refill Grape /12</t>
  </si>
  <si>
    <t>DDR356294</t>
  </si>
  <si>
    <t>Dee-Dee Shampoo 250ml Refill Strawberry /12</t>
  </si>
  <si>
    <t>HSP222384</t>
  </si>
  <si>
    <t>Yuri Hand Soap 410ml Lemon Pump/12</t>
  </si>
  <si>
    <t>PSR563380</t>
  </si>
  <si>
    <t>Porstex Reguler Fresh Lilac 700ml/12</t>
  </si>
  <si>
    <t>2608/00994/AMN</t>
  </si>
  <si>
    <t>LSK00035</t>
  </si>
  <si>
    <t>YUSRI</t>
  </si>
  <si>
    <t>Selayang Baru, Sampoiniet   Jl Medan - B, Aceh, SAMPOINIET</t>
  </si>
  <si>
    <t xml:space="preserve">Lhoksukon </t>
  </si>
  <si>
    <t>NPWP Cosmetik</t>
  </si>
  <si>
    <t>DPS442267</t>
  </si>
  <si>
    <t>Dee-Dee T.Brush + T.Paste Pak/24</t>
  </si>
  <si>
    <t>2608/00995/AMN</t>
  </si>
  <si>
    <t>KBI00023</t>
  </si>
  <si>
    <t>Setia Kawan</t>
  </si>
  <si>
    <t>11 Agu 2026</t>
  </si>
  <si>
    <t>2608/00878/AMN</t>
  </si>
  <si>
    <t>IDI00069</t>
  </si>
  <si>
    <t>MURTADHA</t>
  </si>
  <si>
    <t>TALA MARKET, Jl. Medan-Banda Aceh</t>
  </si>
  <si>
    <t>Idi Cut</t>
  </si>
  <si>
    <t>07 Agu 2026</t>
  </si>
  <si>
    <t>2608/00426/AMN</t>
  </si>
  <si>
    <t>PLK00070</t>
  </si>
  <si>
    <t>ASNAWI</t>
  </si>
  <si>
    <t>Beringin Jaya Cosmetik, Perlak</t>
  </si>
  <si>
    <t>2608/00495/AMN</t>
  </si>
  <si>
    <t>PLK00080</t>
  </si>
  <si>
    <t>Premium Parfum, Perlak</t>
  </si>
  <si>
    <t>Jl. Cut Mutia, Perlak</t>
  </si>
  <si>
    <t>Perlak</t>
  </si>
  <si>
    <t>2608/00501/AMN</t>
  </si>
  <si>
    <t>PLK00036</t>
  </si>
  <si>
    <t>Sinar Dunia,Perlak</t>
  </si>
  <si>
    <t>2608/00506/AMN</t>
  </si>
  <si>
    <t>PLK00065</t>
  </si>
  <si>
    <t>Beringin Jaya</t>
  </si>
  <si>
    <t>DPK442282A</t>
  </si>
  <si>
    <t>Dee-Dee ToothPaste 50gr Refill Grape /48</t>
  </si>
  <si>
    <t>DPK442283A</t>
  </si>
  <si>
    <t>Dee-Dee ToothPaste 50gr Refill Orange /48</t>
  </si>
  <si>
    <t>DPK442284A</t>
  </si>
  <si>
    <t>Dee-Dee ToothPaste 50gr Refill Strawberry /48</t>
  </si>
  <si>
    <t>06 Agu 2026</t>
  </si>
  <si>
    <t>2608/00306/AMN</t>
  </si>
  <si>
    <t>PLK00075</t>
  </si>
  <si>
    <t>Home parfum, Perlak</t>
  </si>
  <si>
    <t>Jl. Cut Mutia Samp. Sinar Dunia</t>
  </si>
  <si>
    <t>2608/00315/AMN</t>
  </si>
  <si>
    <t>PLK00053</t>
  </si>
  <si>
    <t>BP Swalayan,Perlak</t>
  </si>
  <si>
    <t xml:space="preserve">Jl. Cut Mutia </t>
  </si>
  <si>
    <t>03 Agu 2026</t>
  </si>
  <si>
    <t>2608/SR/0154/AMN</t>
  </si>
  <si>
    <t>IDI00065</t>
  </si>
  <si>
    <t>ANDI SAPUTRA</t>
  </si>
  <si>
    <t>HN swalayan</t>
  </si>
  <si>
    <t>2608/SR/0156/AMN</t>
  </si>
  <si>
    <t>DDR356491</t>
  </si>
  <si>
    <t>Dee-Dee Shampoo Ref.125ml Apple /24</t>
  </si>
  <si>
    <t>2608/SR/0175/AMN</t>
  </si>
  <si>
    <t>DDR356293</t>
  </si>
  <si>
    <t>Dee-Dee Shampoo 250ml Refill Orange /12</t>
  </si>
  <si>
    <t>2608/SR/0176/AMN</t>
  </si>
  <si>
    <t xml:space="preserve">Fauzi </t>
  </si>
  <si>
    <t>19 Agu 2026</t>
  </si>
  <si>
    <t>2608/SR/0611/AMN</t>
  </si>
  <si>
    <t>SBG00008</t>
  </si>
  <si>
    <t>Kasimura TK, Sabang</t>
  </si>
  <si>
    <t>Jl. Malahayati No 1</t>
  </si>
  <si>
    <t>SABANG</t>
  </si>
  <si>
    <t>Toko Ritail</t>
  </si>
  <si>
    <t>2608/SR/0612/AMN</t>
  </si>
  <si>
    <t>DDR356492</t>
  </si>
  <si>
    <t>Dee-Dee Shampoo Ref.125ml Grape /24</t>
  </si>
  <si>
    <t xml:space="preserve">Fauzi (Aceh) </t>
  </si>
  <si>
    <t>08 Agu 2026</t>
  </si>
  <si>
    <t>2608/SR/0315/AMN</t>
  </si>
  <si>
    <t>DTP464291</t>
  </si>
  <si>
    <t>Dee-Dee Talcum Powder Apple 150gr/12</t>
  </si>
  <si>
    <t>2608/SR/0173/AMN</t>
  </si>
  <si>
    <t xml:space="preserve">Kantor Medan </t>
  </si>
  <si>
    <t>22 Agu 2026</t>
  </si>
  <si>
    <t>2608/02071/AMN</t>
  </si>
  <si>
    <t>KAR00003</t>
  </si>
  <si>
    <t>Karyawan</t>
  </si>
  <si>
    <t>Others</t>
  </si>
  <si>
    <t>TAF365390</t>
  </si>
  <si>
    <t>Yuri Taf Fresh Blue 500ml/12</t>
  </si>
  <si>
    <t xml:space="preserve">Lilik </t>
  </si>
  <si>
    <t>2608/SR/0314/AMN</t>
  </si>
  <si>
    <t>DBW640291</t>
  </si>
  <si>
    <t>Dee-Dee Body Wash 225ml Apple/12 pc</t>
  </si>
  <si>
    <t>DBW640292</t>
  </si>
  <si>
    <t>Dee-Dee Body Wash 225ml Grape/12</t>
  </si>
  <si>
    <t>DBW640293</t>
  </si>
  <si>
    <t>Dee-Dee Body Wash 225ml Orange/12</t>
  </si>
  <si>
    <t>DBW640294</t>
  </si>
  <si>
    <t>Dee-Dee Body Wash 225ml Strawbery/12</t>
  </si>
  <si>
    <t>DDP356281</t>
  </si>
  <si>
    <t>Dee-Dee Shampoo 250ml Pump Apple /12</t>
  </si>
  <si>
    <t>DDP356283</t>
  </si>
  <si>
    <t>Dee-Dee Shampoo 250ml Pump Orange /12</t>
  </si>
  <si>
    <t>2608/SR/0152/AMN</t>
  </si>
  <si>
    <t>DDR356291</t>
  </si>
  <si>
    <t>Dee-Dee Shampoo 250ml Refill Apple /12</t>
  </si>
  <si>
    <t>2608/SR/0153/AMN</t>
  </si>
  <si>
    <t>2608/SR/0167/AMN</t>
  </si>
  <si>
    <t>BRN00025</t>
  </si>
  <si>
    <t>Sabena,Bernun</t>
  </si>
  <si>
    <t>Lorong UM, Bernun</t>
  </si>
  <si>
    <t>Beurenuen</t>
  </si>
  <si>
    <t>GLA178990</t>
  </si>
  <si>
    <t>Yuri Glass Cleaner Fresh Blue 410ml Pouch/24</t>
  </si>
  <si>
    <t>GLA178992</t>
  </si>
  <si>
    <t>Yuri Glass Cleaner Lemon Fresh 410ml Pouch/24</t>
  </si>
  <si>
    <t>GLA178993</t>
  </si>
  <si>
    <t>Yuri Glass Cleaner Fresh Lilac 410ml Pouch/24</t>
  </si>
  <si>
    <t>2608/SR/0174/AMN</t>
  </si>
  <si>
    <t>2608/SR/0177/AMN</t>
  </si>
  <si>
    <t>2608/SR/0178/AMN</t>
  </si>
  <si>
    <t xml:space="preserve">Lisa (BNA) </t>
  </si>
  <si>
    <t>24 Agu 2026</t>
  </si>
  <si>
    <t>2608/SR/0845/AMN</t>
  </si>
  <si>
    <t>BNA00288</t>
  </si>
  <si>
    <t>Gebrina Swalayan</t>
  </si>
  <si>
    <t>Jl. EM. Hasan Banda Aceh</t>
  </si>
  <si>
    <t>Banda Aceh</t>
  </si>
  <si>
    <t>Lokal Minimarket</t>
  </si>
  <si>
    <t>DBD789191</t>
  </si>
  <si>
    <t>Baby Dee Cream Popok Milk 100gr/24</t>
  </si>
  <si>
    <t>DBD794091</t>
  </si>
  <si>
    <t>Baby Dee Baby Lotion Milk 50ml/24</t>
  </si>
  <si>
    <t>DBD794092</t>
  </si>
  <si>
    <t>Baby Dee Baby Lotion Honey 50ml/24</t>
  </si>
  <si>
    <t>2608/SR/0860/AMN</t>
  </si>
  <si>
    <t>DBD750262</t>
  </si>
  <si>
    <t>Baby Dee Toiletries Pack Honey/6</t>
  </si>
  <si>
    <t>DBD761261</t>
  </si>
  <si>
    <t>Baby Dee Travel Pack Milk/12</t>
  </si>
  <si>
    <t>DBD761262</t>
  </si>
  <si>
    <t>Baby Dee Travel Pack Honey/12</t>
  </si>
  <si>
    <t>DBD789091</t>
  </si>
  <si>
    <t>Baby Dee Cream Popok Milk 50gr /24</t>
  </si>
  <si>
    <t>DBD789192</t>
  </si>
  <si>
    <t>Baby Dee Cream Popok Honey 100gr/24</t>
  </si>
  <si>
    <t>2608/SR/0861/AMN</t>
  </si>
  <si>
    <t>DBD761291</t>
  </si>
  <si>
    <t>Baby Dee Talcum Powder Milk 200gr/12</t>
  </si>
  <si>
    <t>DBD761292</t>
  </si>
  <si>
    <t>Baby Dee Talcum Powder Honey 200gr/12</t>
  </si>
  <si>
    <t xml:space="preserve">Muhammad FZ </t>
  </si>
  <si>
    <t>2608/02930/AMN</t>
  </si>
  <si>
    <t>MLB00055</t>
  </si>
  <si>
    <t>MUSLIM</t>
  </si>
  <si>
    <t>UD. MS, Jln. Tgk Chik Ali Akbar No. 9</t>
  </si>
  <si>
    <t>MEULABOH</t>
  </si>
  <si>
    <t>PKP Others</t>
  </si>
  <si>
    <t>2608/02948/AMN</t>
  </si>
  <si>
    <t>BPD00019</t>
  </si>
  <si>
    <t>HUSEN KARYA UTAMA, PT.</t>
  </si>
  <si>
    <t>Sejahtera Swl B. pidie, Jl. Kesehatan No 3-5 Octat, Blang Pidie</t>
  </si>
  <si>
    <t>Blang Pidie</t>
  </si>
  <si>
    <t>PKP Market/MT</t>
  </si>
  <si>
    <t>2608/02958/AMN</t>
  </si>
  <si>
    <t>POR332580</t>
  </si>
  <si>
    <t>Porstex 3,7 Liter WB/4</t>
  </si>
  <si>
    <t>POR332590</t>
  </si>
  <si>
    <t>Porstex 3,7 Liter WL/4</t>
  </si>
  <si>
    <t>2608/03296/AMN</t>
  </si>
  <si>
    <t>PBR00004</t>
  </si>
  <si>
    <t>Bunga Tanjung P.Baru</t>
  </si>
  <si>
    <t>Pondok Baru</t>
  </si>
  <si>
    <t>PONDOK BARU</t>
  </si>
  <si>
    <t>2608/03351/AMN</t>
  </si>
  <si>
    <t>CLG00004</t>
  </si>
  <si>
    <t>Khansa Cosmetic</t>
  </si>
  <si>
    <t>Jl. Ali Gunong, Calang Aceh Jaya</t>
  </si>
  <si>
    <t>Calang</t>
  </si>
  <si>
    <t>2608/03380/AMN</t>
  </si>
  <si>
    <t>SBS00011</t>
  </si>
  <si>
    <t>AL Fatih Swalayan</t>
  </si>
  <si>
    <t>Jl. Perangusan, Subulussalam</t>
  </si>
  <si>
    <t>Subulussalam</t>
  </si>
  <si>
    <t>Supermarket</t>
  </si>
  <si>
    <t>2608/02853/AMN</t>
  </si>
  <si>
    <t>MLB00046</t>
  </si>
  <si>
    <t>Sultan Swalayan 2</t>
  </si>
  <si>
    <t>Jl. Sisingamangaraja Lapang/Meulaboh</t>
  </si>
  <si>
    <t>Mini Market</t>
  </si>
  <si>
    <t>HSP222381</t>
  </si>
  <si>
    <t>Yuri Hand Soap 410ml Apple Pump/12</t>
  </si>
  <si>
    <t>2608/02218/AMN</t>
  </si>
  <si>
    <t>TTA00018</t>
  </si>
  <si>
    <t>Surya Baru, Kota Fajar</t>
  </si>
  <si>
    <t xml:space="preserve">Jjl. T. Cut Alli </t>
  </si>
  <si>
    <t>Kota Fajar</t>
  </si>
  <si>
    <t>2608/02032/AMN</t>
  </si>
  <si>
    <t>LGS00158</t>
  </si>
  <si>
    <t>MARDIANA</t>
  </si>
  <si>
    <t xml:space="preserve">Makmur Swalayan Langsa </t>
  </si>
  <si>
    <t>Langsa</t>
  </si>
  <si>
    <t>2608/02033/AMN</t>
  </si>
  <si>
    <t>LSM00094</t>
  </si>
  <si>
    <t>Sejahtera II</t>
  </si>
  <si>
    <t>2608/02058/AMN</t>
  </si>
  <si>
    <t>LSM00093</t>
  </si>
  <si>
    <t xml:space="preserve">Sejahterah I </t>
  </si>
  <si>
    <t>20 Agu 2026</t>
  </si>
  <si>
    <t>2608/01747/AMN</t>
  </si>
  <si>
    <t>MLB00063</t>
  </si>
  <si>
    <t>Sultan Swalayan, Teunom</t>
  </si>
  <si>
    <t xml:space="preserve">Teunom </t>
  </si>
  <si>
    <t>Lokal Supermarket</t>
  </si>
  <si>
    <t>2608/01633/AMN</t>
  </si>
  <si>
    <t>MLB00080</t>
  </si>
  <si>
    <t>SUKSES MITRA PERKASA, CV.</t>
  </si>
  <si>
    <t>Jl. Nasional (Gedung Giat), Meulaboh</t>
  </si>
  <si>
    <t>Meulaboh</t>
  </si>
  <si>
    <t>NPWP Grosir</t>
  </si>
  <si>
    <t>2608/01461/AMN</t>
  </si>
  <si>
    <t>LGS00146</t>
  </si>
  <si>
    <t>ALI SADLY</t>
  </si>
  <si>
    <t>Ali Pisang, JL. Pabrik Es Langsa</t>
  </si>
  <si>
    <t>LANGSA</t>
  </si>
  <si>
    <t>2608/01497/AMN</t>
  </si>
  <si>
    <t>2608/01512/AMN</t>
  </si>
  <si>
    <t>BRU00067</t>
  </si>
  <si>
    <t>Sejahtera Swl 2 Bireuen, Jl. Juli Bireuen, Bireuen</t>
  </si>
  <si>
    <t>Bireuen</t>
  </si>
  <si>
    <t>2608/01290/AMN</t>
  </si>
  <si>
    <t>SGL00027</t>
  </si>
  <si>
    <t>Maya Baru</t>
  </si>
  <si>
    <t>Jl. Perdagangan Sigli</t>
  </si>
  <si>
    <t>SIGLI</t>
  </si>
  <si>
    <t>2608/01315/AMN</t>
  </si>
  <si>
    <t>SGL00013</t>
  </si>
  <si>
    <t>Bahagia, Sigli</t>
  </si>
  <si>
    <t xml:space="preserve">Jl. Perdagangan </t>
  </si>
  <si>
    <t>2608/00777/AMN</t>
  </si>
  <si>
    <t>LGS00152</t>
  </si>
  <si>
    <t>Jasa Delima 3 Tk, Langsa</t>
  </si>
  <si>
    <t xml:space="preserve">Jl. TM Zein </t>
  </si>
  <si>
    <t>2608/00818/AMN</t>
  </si>
  <si>
    <t>MTG00011</t>
  </si>
  <si>
    <t>Taufik</t>
  </si>
  <si>
    <t>Matang Kelumpang II</t>
  </si>
  <si>
    <t>MATANG KELUMPANG II</t>
  </si>
  <si>
    <t>2608/00827/AMN</t>
  </si>
  <si>
    <t>PTL00035</t>
  </si>
  <si>
    <t>Rayon Baru</t>
  </si>
  <si>
    <t>Jl. Medan - Banda Aceh Panton Labu</t>
  </si>
  <si>
    <t>PANTON LABU</t>
  </si>
  <si>
    <t>2608/00853/AMN</t>
  </si>
  <si>
    <t>CLG00006</t>
  </si>
  <si>
    <t>Z.K.R, Calang</t>
  </si>
  <si>
    <t>2608/00866/AMN</t>
  </si>
  <si>
    <t>LGS00106</t>
  </si>
  <si>
    <t>Baba, Langsa</t>
  </si>
  <si>
    <t>JL. Pabrik Es Langsa</t>
  </si>
  <si>
    <t>10 Agu 2026</t>
  </si>
  <si>
    <t>2608/00701/AMN</t>
  </si>
  <si>
    <t>BRU00020</t>
  </si>
  <si>
    <t>Aneka Usaha</t>
  </si>
  <si>
    <t>2608/00582/AMN</t>
  </si>
  <si>
    <t>LGS00117</t>
  </si>
  <si>
    <t>Narata Swalayan</t>
  </si>
  <si>
    <t>Jl. Pabrik Es No. 3</t>
  </si>
  <si>
    <t>2608/00605/AMN</t>
  </si>
  <si>
    <t>2608/00630/AMN</t>
  </si>
  <si>
    <t>LGS00116</t>
  </si>
  <si>
    <t>Jasa Delima Tk</t>
  </si>
  <si>
    <t>Jl. Rel K. Api No. 98 Langsa</t>
  </si>
  <si>
    <t>2608/00309/AMN</t>
  </si>
  <si>
    <t>SGL00048</t>
  </si>
  <si>
    <t>Razakna</t>
  </si>
  <si>
    <t>Jl. Iskandar Muda No. 42</t>
  </si>
  <si>
    <t>05 Agu 2026</t>
  </si>
  <si>
    <t>2608/00187/AMN</t>
  </si>
  <si>
    <t>LGS00038</t>
  </si>
  <si>
    <t>Syafrudin</t>
  </si>
  <si>
    <t>Jl. Pasar Baru Langsa</t>
  </si>
  <si>
    <t>2608/00047/AMN</t>
  </si>
  <si>
    <t>MLB00026</t>
  </si>
  <si>
    <t>RAZALI M ALI</t>
  </si>
  <si>
    <t>Sejahtera Meulaboh</t>
  </si>
  <si>
    <t>NPWP Kelontong</t>
  </si>
  <si>
    <t>01 Agu 2026</t>
  </si>
  <si>
    <t>2608/SR/0001/AMN</t>
  </si>
  <si>
    <t>PBR00008</t>
  </si>
  <si>
    <t>Langkah Baru Tk</t>
  </si>
  <si>
    <t>Jl.Listrik Pondok Baru</t>
  </si>
  <si>
    <t>2608/SR/0137/AMN</t>
  </si>
  <si>
    <t xml:space="preserve">Widia </t>
  </si>
  <si>
    <t>2608/03012/AMN</t>
  </si>
  <si>
    <t>ACB00021</t>
  </si>
  <si>
    <t>INDOMARCO PRISMATAMA, PT</t>
  </si>
  <si>
    <t>Jl. Laksamana Malahayati Ds. Baet Kec. Baitussalam - Aceh Besar</t>
  </si>
  <si>
    <t>Aceh Besar</t>
  </si>
  <si>
    <t>2608/02467/AMN</t>
  </si>
  <si>
    <t>BRU00042</t>
  </si>
  <si>
    <t>Suriatama Mahkota Kencana, PT</t>
  </si>
  <si>
    <t>Suzuya Bireun</t>
  </si>
  <si>
    <t>POR332270</t>
  </si>
  <si>
    <t>Porstex Kloset 500ml/12</t>
  </si>
  <si>
    <t>2608/02486/AMN</t>
  </si>
  <si>
    <t>LSM00067</t>
  </si>
  <si>
    <t>Suriatama Mahkota Kencana, PT.</t>
  </si>
  <si>
    <t>Suzuya LSM, Jl. Samudera Baru No.01, Sp. Empat,  Banda Sakti,</t>
  </si>
  <si>
    <t>2608/02502/AMN</t>
  </si>
  <si>
    <t>LGS00135</t>
  </si>
  <si>
    <t>2608/02516/AMN</t>
  </si>
  <si>
    <t>BNA00781</t>
  </si>
  <si>
    <t>Jl. H Dimurthala (P. Pirak) Simp 5 No 1 K. Alam Banda Aceh</t>
  </si>
  <si>
    <t>2608/02538/AMN</t>
  </si>
  <si>
    <t>MLB00056</t>
  </si>
  <si>
    <t>Psr Induk Meulabah, Jalan Nasional - MEULABOH</t>
  </si>
  <si>
    <t>2608/02550/AMN</t>
  </si>
  <si>
    <t>BNA00606</t>
  </si>
  <si>
    <t>JL.T.Umar Eks Terminal lama Setui</t>
  </si>
  <si>
    <t>2608/02135/AMN</t>
  </si>
  <si>
    <t>21 Agu 2026</t>
  </si>
  <si>
    <t>2608/01861/AMN</t>
  </si>
  <si>
    <t>2608/01775/AMN</t>
  </si>
  <si>
    <t>2608/01795/AMN</t>
  </si>
  <si>
    <t>2608/01818/AMN</t>
  </si>
  <si>
    <t>2608/01834/AMN</t>
  </si>
  <si>
    <t>2608/01837/AMN</t>
  </si>
  <si>
    <t>2608/01479/AMN</t>
  </si>
  <si>
    <t>2608/01107/AMN</t>
  </si>
  <si>
    <t>2608/01109/AMN</t>
  </si>
  <si>
    <t>2608/01132/AMN</t>
  </si>
  <si>
    <t>2608/01148/AMN</t>
  </si>
  <si>
    <t>2608/01163/AMN</t>
  </si>
  <si>
    <t>2608/01190/AMN</t>
  </si>
  <si>
    <t>2608/00906/AMN</t>
  </si>
  <si>
    <t>2608/00687/AMN</t>
  </si>
  <si>
    <t>2608/00391/AMN</t>
  </si>
  <si>
    <t>2608/00413/AMN</t>
  </si>
  <si>
    <t>2608/00457/AMN</t>
  </si>
  <si>
    <t>2608/00361/AMN</t>
  </si>
  <si>
    <t>2608/00369/AMN</t>
  </si>
  <si>
    <t>2608/00376/AMN</t>
  </si>
  <si>
    <t>2608/00382/AMN</t>
  </si>
  <si>
    <t>2608/00028/AMN</t>
  </si>
  <si>
    <t xml:space="preserve">Yuli (BNA) </t>
  </si>
  <si>
    <t>2608/03000/AMN</t>
  </si>
  <si>
    <t>BNA00176</t>
  </si>
  <si>
    <t>Mulia Jaya</t>
  </si>
  <si>
    <t>Jl. Diponegoro Banda Aceh</t>
  </si>
  <si>
    <t>2608/03008/AMN</t>
  </si>
  <si>
    <t>BNA00760</t>
  </si>
  <si>
    <t>Asiong Tk/ Alex, BNA</t>
  </si>
  <si>
    <t>Jl. Tandi No 11</t>
  </si>
  <si>
    <t>2608/03019/AMN</t>
  </si>
  <si>
    <t>BNA00300</t>
  </si>
  <si>
    <t>Usaha Rajin Toko</t>
  </si>
  <si>
    <t xml:space="preserve">Jl. Tchick Pante Kulu Pasr Aceh </t>
  </si>
  <si>
    <t>2608/03072/AMN</t>
  </si>
  <si>
    <t>BNA00540</t>
  </si>
  <si>
    <t>Sejahtera Utama, Tk.</t>
  </si>
  <si>
    <t>Jl. Khairil Anwar No 2A-B. Peunayong</t>
  </si>
  <si>
    <t>2608/03073/AMN</t>
  </si>
  <si>
    <t>BNA00851</t>
  </si>
  <si>
    <t>MUSLIADI</t>
  </si>
  <si>
    <t>Bina Bersama Swalayan, Jl. Pocut Baren - Banda Aceh, Banda Aceh</t>
  </si>
  <si>
    <t>2608/03076/AMN</t>
  </si>
  <si>
    <t>BNA00251</t>
  </si>
  <si>
    <t>Istana Kado, B.Aceh</t>
  </si>
  <si>
    <t>Jl.T.Abdul Jalil</t>
  </si>
  <si>
    <t>2608/03145/AMN</t>
  </si>
  <si>
    <t>BNA00435</t>
  </si>
  <si>
    <t>Anugrah Swl</t>
  </si>
  <si>
    <t>Jl. Sulthan Iskandar Muda Blang Bintang B.Aceh</t>
  </si>
  <si>
    <t>2608/03165/AMN</t>
  </si>
  <si>
    <t>BNA00784</t>
  </si>
  <si>
    <t>Nanggroe Tk, BNA</t>
  </si>
  <si>
    <t>Jl. Tgk. Chik Ditiro No 79</t>
  </si>
  <si>
    <t>2608/02601/AMN</t>
  </si>
  <si>
    <t>BNA00665</t>
  </si>
  <si>
    <t>Agus Bitai B.Aceh</t>
  </si>
  <si>
    <t>Jl.Tengkuh Bitai B.Aceh</t>
  </si>
  <si>
    <t>27 Agu 2026</t>
  </si>
  <si>
    <t>2608/02367/AMN</t>
  </si>
  <si>
    <t>2608/02069/AMN</t>
  </si>
  <si>
    <t>BNA00837</t>
  </si>
  <si>
    <t>Harapan Maju, B.Aceh</t>
  </si>
  <si>
    <t>Jl. Rama Setia  Lampaseh Kota, Banda Aceh</t>
  </si>
  <si>
    <t>2608/01919/AMN</t>
  </si>
  <si>
    <t>2608/01624/AMN</t>
  </si>
  <si>
    <t>BNA00796</t>
  </si>
  <si>
    <t>Multi Jasa Cemara, PT.</t>
  </si>
  <si>
    <t>Jl. Dimurtala No 1 Simp. Lima (P. Pirak)</t>
  </si>
  <si>
    <t>2608/00423/AMN</t>
  </si>
  <si>
    <t>BNA00858</t>
  </si>
  <si>
    <t>Merdeka Supply, Tk</t>
  </si>
  <si>
    <t>Jl. Tgk Imum Lueng Bata, Lamseupang - Banda Aceh</t>
  </si>
  <si>
    <t>2608/00169/AMN</t>
  </si>
  <si>
    <t>ACB00022</t>
  </si>
  <si>
    <t>Fajar Cosmetik</t>
  </si>
  <si>
    <t>Jl. Tungkop Lamathe Desa Cucum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</si>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</sst>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8"/>
      <color rgb="FF000080"/>
      <name val="Arial"/>
      <family val="2"/>
    </font>
    <font>
      <b/>
      <sz val="9"/>
      <color rgb="FF000080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" fontId="3" fillId="0" borderId="0">
      <alignment horizontal="center" vertical="top"/>
    </xf>
    <xf numFmtId="4" fontId="4" fillId="0" borderId="0">
      <alignment horizontal="center" vertical="top"/>
    </xf>
    <xf numFmtId="4" fontId="5" fillId="0" borderId="0">
      <alignment horizontal="center" vertical="top"/>
    </xf>
    <xf numFmtId="4" fontId="6" fillId="0" borderId="0">
      <alignment horizontal="right" vertical="top"/>
    </xf>
    <xf numFmtId="4" fontId="7" fillId="0" borderId="0">
      <alignment horizontal="center" vertical="center"/>
    </xf>
    <xf numFmtId="4" fontId="6" fillId="0" borderId="0">
      <alignment horizontal="left" vertical="top"/>
    </xf>
    <xf numFmtId="4" fontId="6" fillId="0" borderId="0">
      <alignment horizontal="left" vertical="top"/>
    </xf>
    <xf numFmtId="4" fontId="7" fillId="0" borderId="0">
      <alignment horizontal="right" vertical="center"/>
    </xf>
  </cellStyleXfs>
  <cellXfs count="102">
    <xf numFmtId="0" fontId="0" fillId="0" borderId="0" xfId="0"/>
    <xf numFmtId="4" fontId="3" fillId="0" borderId="0" xfId="2" quotePrefix="1" applyAlignment="1">
      <alignment horizontal="center"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wrapText="1"/>
    </xf>
    <xf numFmtId="0" fontId="0" fillId="0" borderId="0" xfId="0" applyAlignment="1">
      <alignment wrapText="1"/>
    </xf>
    <xf numFmtId="4" fontId="4" fillId="0" borderId="0" xfId="3" quotePrefix="1" applyAlignment="1">
      <alignment horizontal="center" vertical="top" wrapText="1"/>
    </xf>
    <xf numFmtId="4" fontId="5" fillId="0" borderId="0" xfId="4" quotePrefix="1" applyAlignment="1">
      <alignment horizontal="center" vertical="top" wrapText="1"/>
    </xf>
    <xf numFmtId="4" fontId="6" fillId="0" borderId="0" xfId="5" quotePrefix="1" applyAlignment="1">
      <alignment horizontal="right" vertical="top" wrapText="1"/>
    </xf>
    <xf numFmtId="4" fontId="7" fillId="2" borderId="1" xfId="6" quotePrefix="1" applyFill="1" applyBorder="1" applyAlignment="1">
      <alignment horizontal="center" vertical="center" wrapText="1"/>
    </xf>
    <xf numFmtId="4" fontId="7" fillId="2" borderId="2" xfId="6" quotePrefix="1" applyFill="1" applyBorder="1" applyAlignment="1">
      <alignment horizontal="center" vertical="center" wrapText="1"/>
    </xf>
    <xf numFmtId="4" fontId="7" fillId="2" borderId="3" xfId="6" quotePrefix="1" applyFill="1" applyBorder="1" applyAlignment="1">
      <alignment horizontal="center" vertical="center" wrapText="1"/>
    </xf>
    <xf numFmtId="164" fontId="8" fillId="2" borderId="4" xfId="1" quotePrefix="1" applyNumberFormat="1" applyFont="1" applyFill="1" applyBorder="1" applyAlignment="1">
      <alignment horizontal="center" vertical="center" wrapText="1"/>
    </xf>
    <xf numFmtId="164" fontId="1" fillId="2" borderId="5" xfId="1" applyNumberFormat="1" applyFont="1" applyFill="1" applyBorder="1" applyAlignment="1">
      <alignment wrapText="1"/>
    </xf>
    <xf numFmtId="164" fontId="2" fillId="2" borderId="6" xfId="1" applyNumberFormat="1" applyFont="1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164" fontId="7" fillId="2" borderId="9" xfId="1" quotePrefix="1" applyNumberFormat="1" applyFont="1" applyFill="1" applyBorder="1" applyAlignment="1">
      <alignment horizontal="center" vertical="center" wrapText="1"/>
    </xf>
    <xf numFmtId="164" fontId="7" fillId="2" borderId="10" xfId="1" quotePrefix="1" applyNumberFormat="1" applyFont="1" applyFill="1" applyBorder="1" applyAlignment="1">
      <alignment horizontal="center" vertical="center" wrapText="1"/>
    </xf>
    <xf numFmtId="164" fontId="7" fillId="2" borderId="11" xfId="1" quotePrefix="1" applyNumberFormat="1" applyFont="1" applyFill="1" applyBorder="1" applyAlignment="1">
      <alignment horizontal="center" vertical="center" wrapText="1"/>
    </xf>
    <xf numFmtId="4" fontId="6" fillId="0" borderId="12" xfId="7" quotePrefix="1" applyBorder="1" applyAlignment="1">
      <alignment horizontal="left" vertical="top" wrapText="1"/>
    </xf>
    <xf numFmtId="4" fontId="6" fillId="0" borderId="10" xfId="7" applyBorder="1" applyAlignment="1">
      <alignment horizontal="left" vertical="top" wrapText="1"/>
    </xf>
    <xf numFmtId="4" fontId="6" fillId="0" borderId="13" xfId="8" applyBorder="1" applyAlignment="1">
      <alignment horizontal="left" vertical="top" wrapText="1"/>
    </xf>
    <xf numFmtId="4" fontId="6" fillId="0" borderId="10" xfId="7" quotePrefix="1" applyBorder="1" applyAlignment="1">
      <alignment horizontal="left" vertical="top" wrapText="1"/>
    </xf>
    <xf numFmtId="4" fontId="6" fillId="0" borderId="13" xfId="7" quotePrefix="1" applyBorder="1" applyAlignment="1">
      <alignment horizontal="left" vertical="top" wrapText="1"/>
    </xf>
    <xf numFmtId="164" fontId="6" fillId="0" borderId="10" xfId="1" applyNumberFormat="1" applyFont="1" applyBorder="1" applyAlignment="1">
      <alignment horizontal="right" vertical="center" wrapText="1"/>
    </xf>
    <xf numFmtId="164" fontId="6" fillId="0" borderId="13" xfId="1" applyNumberFormat="1" applyFont="1" applyBorder="1" applyAlignment="1">
      <alignment horizontal="right" vertical="center" wrapText="1"/>
    </xf>
    <xf numFmtId="164" fontId="6" fillId="0" borderId="4" xfId="1" applyNumberFormat="1" applyFont="1" applyBorder="1" applyAlignment="1">
      <alignment horizontal="right" vertical="center" wrapText="1"/>
    </xf>
    <xf numFmtId="164" fontId="9" fillId="0" borderId="6" xfId="1" applyNumberFormat="1" applyFont="1" applyBorder="1" applyAlignment="1">
      <alignment wrapText="1"/>
    </xf>
    <xf numFmtId="0" fontId="0" fillId="0" borderId="14" xfId="0" applyBorder="1" applyAlignment="1">
      <alignment wrapText="1"/>
    </xf>
    <xf numFmtId="4" fontId="6" fillId="0" borderId="15" xfId="7" quotePrefix="1" applyBorder="1" applyAlignment="1">
      <alignment horizontal="left" vertical="top" wrapText="1"/>
    </xf>
    <xf numFmtId="4" fontId="6" fillId="0" borderId="1" xfId="8" applyBorder="1" applyAlignment="1">
      <alignment horizontal="left" vertical="top" wrapText="1"/>
    </xf>
    <xf numFmtId="4" fontId="6" fillId="0" borderId="1" xfId="7" quotePrefix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4" fontId="6" fillId="0" borderId="18" xfId="7" quotePrefix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" fontId="6" fillId="0" borderId="12" xfId="7" quotePrefix="1" applyBorder="1" applyAlignment="1">
      <alignment horizontal="left" vertical="top" wrapText="1"/>
    </xf>
    <xf numFmtId="4" fontId="6" fillId="0" borderId="5" xfId="7" quotePrefix="1" applyBorder="1" applyAlignment="1">
      <alignment horizontal="left" vertical="top" wrapText="1"/>
    </xf>
    <xf numFmtId="164" fontId="6" fillId="0" borderId="5" xfId="1" applyNumberFormat="1" applyFont="1" applyBorder="1" applyAlignment="1">
      <alignment horizontal="right" vertical="center" wrapText="1"/>
    </xf>
    <xf numFmtId="4" fontId="6" fillId="0" borderId="4" xfId="8" applyBorder="1" applyAlignment="1">
      <alignment horizontal="left" vertical="top" wrapText="1"/>
    </xf>
    <xf numFmtId="4" fontId="6" fillId="0" borderId="18" xfId="7" quotePrefix="1" applyBorder="1" applyAlignment="1">
      <alignment horizontal="left" vertical="top" wrapText="1"/>
    </xf>
    <xf numFmtId="4" fontId="6" fillId="0" borderId="19" xfId="7" quotePrefix="1" applyBorder="1" applyAlignment="1">
      <alignment horizontal="left" vertical="top" wrapText="1"/>
    </xf>
    <xf numFmtId="4" fontId="6" fillId="0" borderId="0" xfId="7" quotePrefix="1" applyAlignment="1">
      <alignment horizontal="left" vertical="top" wrapText="1"/>
    </xf>
    <xf numFmtId="164" fontId="6" fillId="0" borderId="0" xfId="1" applyNumberFormat="1" applyFont="1" applyBorder="1" applyAlignment="1">
      <alignment horizontal="right" vertical="center" wrapText="1"/>
    </xf>
    <xf numFmtId="4" fontId="6" fillId="0" borderId="11" xfId="7" quotePrefix="1" applyBorder="1" applyAlignment="1">
      <alignment horizontal="left" vertical="top" wrapText="1"/>
    </xf>
    <xf numFmtId="164" fontId="6" fillId="0" borderId="11" xfId="1" applyNumberFormat="1" applyFont="1" applyBorder="1" applyAlignment="1">
      <alignment horizontal="right" vertical="center" wrapText="1"/>
    </xf>
    <xf numFmtId="4" fontId="6" fillId="0" borderId="20" xfId="7" quotePrefix="1" applyBorder="1" applyAlignment="1">
      <alignment horizontal="left" vertical="top" wrapText="1"/>
    </xf>
    <xf numFmtId="4" fontId="6" fillId="0" borderId="8" xfId="7" quotePrefix="1" applyBorder="1" applyAlignment="1">
      <alignment horizontal="left" vertical="top" wrapText="1"/>
    </xf>
    <xf numFmtId="4" fontId="6" fillId="0" borderId="21" xfId="7" quotePrefix="1" applyBorder="1" applyAlignment="1">
      <alignment horizontal="left" vertical="top" wrapText="1"/>
    </xf>
    <xf numFmtId="164" fontId="6" fillId="0" borderId="21" xfId="1" applyNumberFormat="1" applyFont="1" applyBorder="1" applyAlignment="1">
      <alignment horizontal="right" vertical="center" wrapText="1"/>
    </xf>
    <xf numFmtId="4" fontId="6" fillId="0" borderId="20" xfId="8" applyBorder="1" applyAlignment="1">
      <alignment horizontal="left" vertical="top" wrapText="1"/>
    </xf>
    <xf numFmtId="4" fontId="6" fillId="0" borderId="7" xfId="7" quotePrefix="1" applyBorder="1" applyAlignment="1">
      <alignment horizontal="left" vertical="top" wrapText="1"/>
    </xf>
    <xf numFmtId="164" fontId="6" fillId="0" borderId="7" xfId="1" applyNumberFormat="1" applyFont="1" applyBorder="1" applyAlignment="1">
      <alignment horizontal="right" vertical="center" wrapText="1"/>
    </xf>
    <xf numFmtId="164" fontId="6" fillId="0" borderId="8" xfId="1" applyNumberFormat="1" applyFont="1" applyBorder="1" applyAlignment="1">
      <alignment horizontal="right" vertical="center" wrapText="1"/>
    </xf>
    <xf numFmtId="4" fontId="6" fillId="0" borderId="22" xfId="7" quotePrefix="1" applyBorder="1" applyAlignment="1">
      <alignment horizontal="left" vertical="top" wrapText="1"/>
    </xf>
    <xf numFmtId="164" fontId="6" fillId="0" borderId="23" xfId="1" applyNumberFormat="1" applyFont="1" applyBorder="1" applyAlignment="1">
      <alignment horizontal="right" vertical="center" wrapText="1"/>
    </xf>
    <xf numFmtId="164" fontId="6" fillId="0" borderId="24" xfId="1" applyNumberFormat="1" applyFont="1" applyBorder="1" applyAlignment="1">
      <alignment horizontal="right" vertical="center" wrapText="1"/>
    </xf>
    <xf numFmtId="4" fontId="6" fillId="0" borderId="23" xfId="7" quotePrefix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4" fontId="6" fillId="0" borderId="25" xfId="7" quotePrefix="1" applyBorder="1" applyAlignment="1">
      <alignment horizontal="left" vertical="top" wrapText="1"/>
    </xf>
    <xf numFmtId="4" fontId="6" fillId="0" borderId="14" xfId="7" quotePrefix="1" applyBorder="1" applyAlignment="1">
      <alignment horizontal="left" vertical="top" wrapText="1"/>
    </xf>
    <xf numFmtId="164" fontId="10" fillId="0" borderId="21" xfId="1" applyNumberFormat="1" applyFont="1" applyBorder="1" applyAlignment="1">
      <alignment horizontal="right" vertical="center" wrapText="1"/>
    </xf>
    <xf numFmtId="164" fontId="10" fillId="0" borderId="10" xfId="1" applyNumberFormat="1" applyFont="1" applyBorder="1" applyAlignment="1">
      <alignment horizontal="right" vertical="center" wrapText="1"/>
    </xf>
    <xf numFmtId="164" fontId="10" fillId="0" borderId="0" xfId="1" applyNumberFormat="1" applyFont="1" applyBorder="1" applyAlignment="1">
      <alignment horizontal="right" vertical="center" wrapText="1"/>
    </xf>
    <xf numFmtId="164" fontId="10" fillId="0" borderId="13" xfId="1" applyNumberFormat="1" applyFont="1" applyBorder="1" applyAlignment="1">
      <alignment horizontal="right" vertical="center" wrapText="1"/>
    </xf>
    <xf numFmtId="0" fontId="0" fillId="0" borderId="26" xfId="0" applyBorder="1" applyAlignment="1">
      <alignment horizontal="left" vertical="top" wrapText="1"/>
    </xf>
    <xf numFmtId="4" fontId="6" fillId="0" borderId="10" xfId="8" applyBorder="1" applyAlignment="1">
      <alignment horizontal="left" vertical="top" wrapText="1"/>
    </xf>
    <xf numFmtId="164" fontId="10" fillId="0" borderId="5" xfId="1" applyNumberFormat="1" applyFont="1" applyBorder="1" applyAlignment="1">
      <alignment horizontal="right" vertical="center" wrapText="1"/>
    </xf>
    <xf numFmtId="164" fontId="10" fillId="0" borderId="11" xfId="1" applyNumberFormat="1" applyFont="1" applyBorder="1" applyAlignment="1">
      <alignment horizontal="right" vertical="center" wrapText="1"/>
    </xf>
    <xf numFmtId="0" fontId="0" fillId="0" borderId="27" xfId="0" applyBorder="1" applyAlignment="1">
      <alignment horizontal="left" vertical="top" wrapText="1"/>
    </xf>
    <xf numFmtId="4" fontId="6" fillId="0" borderId="2" xfId="7" quotePrefix="1" applyBorder="1" applyAlignment="1">
      <alignment horizontal="left" vertical="top" wrapText="1"/>
    </xf>
    <xf numFmtId="4" fontId="6" fillId="0" borderId="8" xfId="8" applyBorder="1" applyAlignment="1">
      <alignment horizontal="left" vertical="top" wrapText="1"/>
    </xf>
    <xf numFmtId="4" fontId="6" fillId="0" borderId="28" xfId="7" quotePrefix="1" applyBorder="1" applyAlignment="1">
      <alignment horizontal="left" vertical="top" wrapText="1"/>
    </xf>
    <xf numFmtId="164" fontId="6" fillId="0" borderId="28" xfId="1" applyNumberFormat="1" applyFont="1" applyBorder="1" applyAlignment="1">
      <alignment horizontal="right" vertical="center" wrapText="1"/>
    </xf>
    <xf numFmtId="4" fontId="6" fillId="0" borderId="29" xfId="7" quotePrefix="1" applyBorder="1" applyAlignment="1">
      <alignment horizontal="left" vertical="top" wrapText="1"/>
    </xf>
    <xf numFmtId="164" fontId="6" fillId="0" borderId="29" xfId="1" applyNumberFormat="1" applyFont="1" applyBorder="1" applyAlignment="1">
      <alignment horizontal="right" vertical="center" wrapText="1"/>
    </xf>
    <xf numFmtId="4" fontId="6" fillId="0" borderId="30" xfId="7" quotePrefix="1" applyBorder="1" applyAlignment="1">
      <alignment horizontal="left" vertical="top" wrapText="1"/>
    </xf>
    <xf numFmtId="164" fontId="6" fillId="0" borderId="30" xfId="1" applyNumberFormat="1" applyFont="1" applyBorder="1" applyAlignment="1">
      <alignment horizontal="right" vertical="center" wrapText="1"/>
    </xf>
    <xf numFmtId="4" fontId="6" fillId="0" borderId="31" xfId="7" quotePrefix="1" applyBorder="1" applyAlignment="1">
      <alignment horizontal="left" vertical="top" wrapText="1"/>
    </xf>
    <xf numFmtId="164" fontId="6" fillId="0" borderId="32" xfId="1" applyNumberFormat="1" applyFont="1" applyBorder="1" applyAlignment="1">
      <alignment horizontal="right" vertical="center" wrapText="1"/>
    </xf>
    <xf numFmtId="4" fontId="6" fillId="0" borderId="33" xfId="7" quotePrefix="1" applyBorder="1" applyAlignment="1">
      <alignment horizontal="left" vertical="top" wrapText="1"/>
    </xf>
    <xf numFmtId="4" fontId="6" fillId="0" borderId="4" xfId="7" quotePrefix="1" applyBorder="1" applyAlignment="1">
      <alignment horizontal="left" vertical="top" wrapText="1"/>
    </xf>
    <xf numFmtId="4" fontId="6" fillId="0" borderId="32" xfId="8" applyBorder="1" applyAlignment="1">
      <alignment horizontal="left" vertical="top" wrapText="1"/>
    </xf>
    <xf numFmtId="4" fontId="6" fillId="0" borderId="18" xfId="8" applyBorder="1" applyAlignment="1">
      <alignment horizontal="left" vertical="top" wrapText="1"/>
    </xf>
    <xf numFmtId="4" fontId="6" fillId="0" borderId="34" xfId="7" quotePrefix="1" applyBorder="1" applyAlignment="1">
      <alignment horizontal="left" vertical="top" wrapText="1"/>
    </xf>
    <xf numFmtId="164" fontId="6" fillId="0" borderId="19" xfId="1" applyNumberFormat="1" applyFont="1" applyBorder="1" applyAlignment="1">
      <alignment horizontal="right" vertical="center" wrapText="1"/>
    </xf>
    <xf numFmtId="164" fontId="6" fillId="0" borderId="34" xfId="1" applyNumberFormat="1" applyFont="1" applyBorder="1" applyAlignment="1">
      <alignment horizontal="right" vertical="center" wrapText="1"/>
    </xf>
    <xf numFmtId="4" fontId="6" fillId="0" borderId="1" xfId="7" quotePrefix="1" applyBorder="1" applyAlignment="1">
      <alignment horizontal="left" vertical="top" wrapText="1"/>
    </xf>
    <xf numFmtId="164" fontId="6" fillId="0" borderId="35" xfId="1" applyNumberFormat="1" applyFont="1" applyBorder="1" applyAlignment="1">
      <alignment horizontal="right" vertical="center" wrapText="1"/>
    </xf>
    <xf numFmtId="4" fontId="6" fillId="0" borderId="35" xfId="7" quotePrefix="1" applyBorder="1" applyAlignment="1">
      <alignment horizontal="left" vertical="top" wrapText="1"/>
    </xf>
    <xf numFmtId="4" fontId="6" fillId="0" borderId="17" xfId="7" quotePrefix="1" applyBorder="1" applyAlignment="1">
      <alignment horizontal="left" vertical="top" wrapText="1"/>
    </xf>
    <xf numFmtId="4" fontId="6" fillId="0" borderId="36" xfId="7" quotePrefix="1" applyBorder="1" applyAlignment="1">
      <alignment horizontal="left" vertical="top" wrapText="1"/>
    </xf>
    <xf numFmtId="164" fontId="6" fillId="0" borderId="36" xfId="1" applyNumberFormat="1" applyFont="1" applyBorder="1" applyAlignment="1">
      <alignment horizontal="right" vertical="center" wrapText="1"/>
    </xf>
    <xf numFmtId="4" fontId="6" fillId="0" borderId="11" xfId="8" applyBorder="1" applyAlignment="1">
      <alignment horizontal="left" vertical="top" wrapText="1"/>
    </xf>
    <xf numFmtId="4" fontId="6" fillId="0" borderId="28" xfId="8" applyBorder="1" applyAlignment="1">
      <alignment horizontal="left" vertical="top" wrapText="1"/>
    </xf>
    <xf numFmtId="0" fontId="0" fillId="0" borderId="17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4" fontId="7" fillId="0" borderId="4" xfId="9" quotePrefix="1" applyBorder="1" applyAlignment="1">
      <alignment horizontal="right" vertical="center" wrapText="1"/>
    </xf>
    <xf numFmtId="0" fontId="0" fillId="0" borderId="5" xfId="0" applyBorder="1" applyAlignment="1">
      <alignment wrapText="1"/>
    </xf>
    <xf numFmtId="0" fontId="0" fillId="0" borderId="19" xfId="0" applyBorder="1" applyAlignment="1">
      <alignment wrapText="1"/>
    </xf>
  </cellXfs>
  <cellStyles count="10">
    <cellStyle name="Comma" xfId="1" builtinId="3"/>
    <cellStyle name="Normal" xfId="0" builtinId="0"/>
    <cellStyle name="S0" xfId="2"/>
    <cellStyle name="S1" xfId="3"/>
    <cellStyle name="S2" xfId="4"/>
    <cellStyle name="S3" xfId="5"/>
    <cellStyle name="S5" xfId="6"/>
    <cellStyle name="S6" xfId="7"/>
    <cellStyle name="S7" xfId="8"/>
    <cellStyle name="S8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4"/>
  <sheetViews>
    <sheetView tabSelected="1" workbookViewId="0">
      <selection sqref="A1:XFD1048576"/>
    </sheetView>
  </sheetViews>
  <sheetFormatPr defaultRowHeight="15" x14ac:dyDescent="0.25"/>
  <cols>
    <col min="1" max="1" width="16.7109375" style="4" customWidth="1"/>
    <col min="2" max="2" width="11.42578125" style="4" customWidth="1"/>
    <col min="3" max="3" width="9.85546875" style="4" customWidth="1"/>
    <col min="4" max="4" width="14.28515625" style="4" customWidth="1"/>
    <col min="5" max="5" width="11.5703125" style="4" customWidth="1"/>
    <col min="6" max="6" width="17.85546875" style="4" customWidth="1"/>
    <col min="7" max="7" width="21.28515625" style="4" customWidth="1"/>
    <col min="8" max="8" width="11.85546875" style="4" customWidth="1"/>
    <col min="9" max="9" width="13.85546875" style="4" customWidth="1"/>
    <col min="10" max="10" width="17.7109375" style="4" customWidth="1"/>
    <col min="11" max="11" width="34" style="4" customWidth="1"/>
    <col min="12" max="12" width="8.28515625" style="3" customWidth="1"/>
    <col min="13" max="13" width="11.5703125" style="3" customWidth="1"/>
    <col min="14" max="14" width="10.5703125" style="3" customWidth="1"/>
    <col min="15" max="15" width="14.85546875" style="3" bestFit="1" customWidth="1"/>
    <col min="16" max="16384" width="9.140625" style="4"/>
  </cols>
  <sheetData>
    <row r="1" spans="1:15" ht="14.4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 ht="22.7" customHeight="1" x14ac:dyDescent="0.25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13.7" customHeight="1" x14ac:dyDescent="0.25">
      <c r="A3" s="6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5" ht="11.45" customHeight="1" x14ac:dyDescent="0.25">
      <c r="A4" s="7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5" ht="12.2" customHeight="1" x14ac:dyDescent="0.25">
      <c r="A5" s="8" t="s">
        <v>4</v>
      </c>
      <c r="B5" s="8" t="s">
        <v>5</v>
      </c>
      <c r="C5" s="9" t="s">
        <v>6</v>
      </c>
      <c r="D5" s="8" t="s">
        <v>7</v>
      </c>
      <c r="E5" s="9" t="s">
        <v>8</v>
      </c>
      <c r="F5" s="8" t="s">
        <v>9</v>
      </c>
      <c r="G5" s="9" t="s">
        <v>10</v>
      </c>
      <c r="H5" s="8" t="s">
        <v>11</v>
      </c>
      <c r="I5" s="9" t="s">
        <v>12</v>
      </c>
      <c r="J5" s="8" t="s">
        <v>13</v>
      </c>
      <c r="K5" s="10" t="s">
        <v>14</v>
      </c>
      <c r="L5" s="11" t="s">
        <v>15</v>
      </c>
      <c r="M5" s="12"/>
      <c r="N5" s="12"/>
      <c r="O5" s="13" t="s">
        <v>16</v>
      </c>
    </row>
    <row r="6" spans="1:15" ht="34.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5"/>
      <c r="L6" s="16" t="s">
        <v>17</v>
      </c>
      <c r="M6" s="17" t="s">
        <v>18</v>
      </c>
      <c r="N6" s="18" t="s">
        <v>19</v>
      </c>
      <c r="O6" s="13"/>
    </row>
    <row r="7" spans="1:15" ht="12.2" customHeight="1" x14ac:dyDescent="0.25">
      <c r="A7" s="19" t="s">
        <v>20</v>
      </c>
      <c r="B7" s="20"/>
      <c r="C7" s="21" t="s">
        <v>21</v>
      </c>
      <c r="D7" s="22" t="s">
        <v>22</v>
      </c>
      <c r="E7" s="23" t="s">
        <v>23</v>
      </c>
      <c r="F7" s="22" t="s">
        <v>24</v>
      </c>
      <c r="G7" s="23" t="s">
        <v>25</v>
      </c>
      <c r="H7" s="22" t="s">
        <v>25</v>
      </c>
      <c r="I7" s="23" t="s">
        <v>26</v>
      </c>
      <c r="J7" s="22" t="s">
        <v>27</v>
      </c>
      <c r="K7" s="23" t="s">
        <v>28</v>
      </c>
      <c r="L7" s="24">
        <v>2</v>
      </c>
      <c r="M7" s="25">
        <v>82417</v>
      </c>
      <c r="N7" s="26">
        <v>45741</v>
      </c>
      <c r="O7" s="27">
        <f t="shared" ref="O7:O70" si="0">M7*1.11</f>
        <v>91482.87000000001</v>
      </c>
    </row>
    <row r="8" spans="1:15" ht="12.2" customHeight="1" x14ac:dyDescent="0.25">
      <c r="A8" s="28"/>
      <c r="B8" s="29" t="s">
        <v>29</v>
      </c>
      <c r="C8" s="30" t="s">
        <v>21</v>
      </c>
      <c r="D8" s="31" t="s">
        <v>30</v>
      </c>
      <c r="E8" s="31" t="s">
        <v>31</v>
      </c>
      <c r="F8" s="31" t="s">
        <v>32</v>
      </c>
      <c r="G8" s="31" t="s">
        <v>33</v>
      </c>
      <c r="H8" s="31" t="s">
        <v>34</v>
      </c>
      <c r="I8" s="31" t="s">
        <v>26</v>
      </c>
      <c r="J8" s="23" t="s">
        <v>35</v>
      </c>
      <c r="K8" s="22" t="s">
        <v>36</v>
      </c>
      <c r="L8" s="25">
        <v>12</v>
      </c>
      <c r="M8" s="24">
        <v>171360</v>
      </c>
      <c r="N8" s="25">
        <v>15851</v>
      </c>
      <c r="O8" s="27">
        <f t="shared" si="0"/>
        <v>190209.6</v>
      </c>
    </row>
    <row r="9" spans="1:15" ht="12.2" customHeight="1" x14ac:dyDescent="0.25">
      <c r="A9" s="28"/>
      <c r="B9" s="32"/>
      <c r="C9" s="33"/>
      <c r="D9" s="33"/>
      <c r="E9" s="33"/>
      <c r="F9" s="33"/>
      <c r="G9" s="33"/>
      <c r="H9" s="33"/>
      <c r="I9" s="33"/>
      <c r="J9" s="22" t="s">
        <v>37</v>
      </c>
      <c r="K9" s="23" t="s">
        <v>38</v>
      </c>
      <c r="L9" s="24">
        <v>24</v>
      </c>
      <c r="M9" s="25">
        <v>514080</v>
      </c>
      <c r="N9" s="26">
        <v>23776</v>
      </c>
      <c r="O9" s="27">
        <f t="shared" si="0"/>
        <v>570628.80000000005</v>
      </c>
    </row>
    <row r="10" spans="1:15" ht="12.2" customHeight="1" x14ac:dyDescent="0.25">
      <c r="A10" s="28"/>
      <c r="B10" s="32"/>
      <c r="C10" s="33"/>
      <c r="D10" s="34"/>
      <c r="E10" s="34"/>
      <c r="F10" s="34"/>
      <c r="G10" s="34"/>
      <c r="H10" s="34"/>
      <c r="I10" s="34"/>
      <c r="J10" s="23" t="s">
        <v>27</v>
      </c>
      <c r="K10" s="22" t="s">
        <v>28</v>
      </c>
      <c r="L10" s="25">
        <v>12</v>
      </c>
      <c r="M10" s="24">
        <v>494496</v>
      </c>
      <c r="N10" s="25">
        <v>45741</v>
      </c>
      <c r="O10" s="27">
        <f t="shared" si="0"/>
        <v>548890.56000000006</v>
      </c>
    </row>
    <row r="11" spans="1:15" ht="12.2" customHeight="1" x14ac:dyDescent="0.25">
      <c r="A11" s="28"/>
      <c r="B11" s="32"/>
      <c r="C11" s="33"/>
      <c r="D11" s="31" t="s">
        <v>39</v>
      </c>
      <c r="E11" s="31" t="s">
        <v>40</v>
      </c>
      <c r="F11" s="31" t="s">
        <v>41</v>
      </c>
      <c r="G11" s="31" t="s">
        <v>42</v>
      </c>
      <c r="H11" s="31" t="s">
        <v>43</v>
      </c>
      <c r="I11" s="35" t="s">
        <v>26</v>
      </c>
      <c r="J11" s="22" t="s">
        <v>35</v>
      </c>
      <c r="K11" s="23" t="s">
        <v>36</v>
      </c>
      <c r="L11" s="24">
        <v>252</v>
      </c>
      <c r="M11" s="25">
        <v>3358656</v>
      </c>
      <c r="N11" s="26">
        <v>31702</v>
      </c>
      <c r="O11" s="27">
        <f t="shared" si="0"/>
        <v>3728108.16</v>
      </c>
    </row>
    <row r="12" spans="1:15" ht="12.2" customHeight="1" x14ac:dyDescent="0.25">
      <c r="A12" s="28"/>
      <c r="B12" s="32"/>
      <c r="C12" s="33"/>
      <c r="D12" s="34"/>
      <c r="E12" s="34"/>
      <c r="F12" s="34"/>
      <c r="G12" s="34"/>
      <c r="H12" s="34"/>
      <c r="I12" s="36"/>
      <c r="J12" s="37" t="s">
        <v>37</v>
      </c>
      <c r="K12" s="22" t="s">
        <v>38</v>
      </c>
      <c r="L12" s="25">
        <v>252</v>
      </c>
      <c r="M12" s="24">
        <v>5037984</v>
      </c>
      <c r="N12" s="25">
        <v>47552</v>
      </c>
      <c r="O12" s="27">
        <f t="shared" si="0"/>
        <v>5592162.2400000002</v>
      </c>
    </row>
    <row r="13" spans="1:15" ht="12.2" customHeight="1" x14ac:dyDescent="0.25">
      <c r="A13" s="28"/>
      <c r="B13" s="32"/>
      <c r="C13" s="34"/>
      <c r="D13" s="22" t="s">
        <v>44</v>
      </c>
      <c r="E13" s="23" t="s">
        <v>45</v>
      </c>
      <c r="F13" s="22" t="s">
        <v>46</v>
      </c>
      <c r="G13" s="23" t="s">
        <v>47</v>
      </c>
      <c r="H13" s="22" t="s">
        <v>48</v>
      </c>
      <c r="I13" s="38" t="s">
        <v>49</v>
      </c>
      <c r="J13" s="22" t="s">
        <v>37</v>
      </c>
      <c r="K13" s="38" t="s">
        <v>38</v>
      </c>
      <c r="L13" s="24">
        <v>504</v>
      </c>
      <c r="M13" s="39">
        <v>9874449</v>
      </c>
      <c r="N13" s="26">
        <v>47552</v>
      </c>
      <c r="O13" s="27">
        <f t="shared" si="0"/>
        <v>10960638.390000001</v>
      </c>
    </row>
    <row r="14" spans="1:15" ht="12.2" customHeight="1" x14ac:dyDescent="0.25">
      <c r="A14" s="28"/>
      <c r="B14" s="32"/>
      <c r="C14" s="40" t="s">
        <v>50</v>
      </c>
      <c r="D14" s="22" t="s">
        <v>51</v>
      </c>
      <c r="E14" s="38" t="s">
        <v>52</v>
      </c>
      <c r="F14" s="22" t="s">
        <v>53</v>
      </c>
      <c r="G14" s="38" t="s">
        <v>43</v>
      </c>
      <c r="H14" s="22" t="s">
        <v>43</v>
      </c>
      <c r="I14" s="38" t="s">
        <v>26</v>
      </c>
      <c r="J14" s="22" t="s">
        <v>35</v>
      </c>
      <c r="K14" s="38" t="s">
        <v>36</v>
      </c>
      <c r="L14" s="24">
        <v>504</v>
      </c>
      <c r="M14" s="39">
        <v>6717312</v>
      </c>
      <c r="N14" s="26">
        <v>31702</v>
      </c>
      <c r="O14" s="27">
        <f t="shared" si="0"/>
        <v>7456216.3200000003</v>
      </c>
    </row>
    <row r="15" spans="1:15" ht="12.2" customHeight="1" x14ac:dyDescent="0.25">
      <c r="A15" s="28"/>
      <c r="B15" s="32"/>
      <c r="C15" s="30" t="s">
        <v>54</v>
      </c>
      <c r="D15" s="31" t="s">
        <v>55</v>
      </c>
      <c r="E15" s="31" t="s">
        <v>45</v>
      </c>
      <c r="F15" s="31" t="s">
        <v>46</v>
      </c>
      <c r="G15" s="31" t="s">
        <v>47</v>
      </c>
      <c r="H15" s="31" t="s">
        <v>48</v>
      </c>
      <c r="I15" s="31" t="s">
        <v>49</v>
      </c>
      <c r="J15" s="22" t="s">
        <v>35</v>
      </c>
      <c r="K15" s="23" t="s">
        <v>36</v>
      </c>
      <c r="L15" s="24">
        <v>252</v>
      </c>
      <c r="M15" s="25">
        <v>3291483</v>
      </c>
      <c r="N15" s="26">
        <v>31702</v>
      </c>
      <c r="O15" s="27">
        <f t="shared" si="0"/>
        <v>3653546.1300000004</v>
      </c>
    </row>
    <row r="16" spans="1:15" ht="12.2" customHeight="1" x14ac:dyDescent="0.25">
      <c r="A16" s="28"/>
      <c r="B16" s="32"/>
      <c r="C16" s="33"/>
      <c r="D16" s="33"/>
      <c r="E16" s="33"/>
      <c r="F16" s="33"/>
      <c r="G16" s="33"/>
      <c r="H16" s="33"/>
      <c r="I16" s="33"/>
      <c r="J16" s="41" t="s">
        <v>27</v>
      </c>
      <c r="K16" s="22" t="s">
        <v>28</v>
      </c>
      <c r="L16" s="25">
        <v>126</v>
      </c>
      <c r="M16" s="24">
        <v>4749140</v>
      </c>
      <c r="N16" s="25">
        <v>91482</v>
      </c>
      <c r="O16" s="27">
        <f t="shared" si="0"/>
        <v>5271545.4000000004</v>
      </c>
    </row>
    <row r="17" spans="1:15" ht="12.2" customHeight="1" x14ac:dyDescent="0.25">
      <c r="A17" s="28"/>
      <c r="B17" s="32"/>
      <c r="C17" s="33"/>
      <c r="D17" s="34"/>
      <c r="E17" s="34"/>
      <c r="F17" s="34"/>
      <c r="G17" s="34"/>
      <c r="H17" s="34"/>
      <c r="I17" s="34"/>
      <c r="J17" s="22" t="s">
        <v>56</v>
      </c>
      <c r="K17" s="23" t="s">
        <v>57</v>
      </c>
      <c r="L17" s="24">
        <v>252</v>
      </c>
      <c r="M17" s="25">
        <v>3550100</v>
      </c>
      <c r="N17" s="26">
        <v>34192</v>
      </c>
      <c r="O17" s="27">
        <f t="shared" si="0"/>
        <v>3940611.0000000005</v>
      </c>
    </row>
    <row r="18" spans="1:15" ht="12.2" customHeight="1" x14ac:dyDescent="0.25">
      <c r="A18" s="28"/>
      <c r="B18" s="32"/>
      <c r="C18" s="33"/>
      <c r="D18" s="31" t="s">
        <v>58</v>
      </c>
      <c r="E18" s="31" t="s">
        <v>59</v>
      </c>
      <c r="F18" s="31" t="s">
        <v>60</v>
      </c>
      <c r="G18" s="31" t="s">
        <v>61</v>
      </c>
      <c r="H18" s="31" t="s">
        <v>62</v>
      </c>
      <c r="I18" s="31" t="s">
        <v>63</v>
      </c>
      <c r="J18" s="23" t="s">
        <v>64</v>
      </c>
      <c r="K18" s="22" t="s">
        <v>65</v>
      </c>
      <c r="L18" s="25">
        <v>12</v>
      </c>
      <c r="M18" s="24">
        <v>345462</v>
      </c>
      <c r="N18" s="25">
        <v>32607</v>
      </c>
      <c r="O18" s="27">
        <f t="shared" si="0"/>
        <v>383462.82</v>
      </c>
    </row>
    <row r="19" spans="1:15" ht="12.2" customHeight="1" x14ac:dyDescent="0.25">
      <c r="A19" s="28"/>
      <c r="B19" s="32"/>
      <c r="C19" s="33"/>
      <c r="D19" s="33"/>
      <c r="E19" s="33"/>
      <c r="F19" s="33"/>
      <c r="G19" s="33"/>
      <c r="H19" s="33"/>
      <c r="I19" s="33"/>
      <c r="J19" s="22" t="s">
        <v>66</v>
      </c>
      <c r="K19" s="23" t="s">
        <v>67</v>
      </c>
      <c r="L19" s="24">
        <v>12</v>
      </c>
      <c r="M19" s="25">
        <v>345462</v>
      </c>
      <c r="N19" s="26">
        <v>32607</v>
      </c>
      <c r="O19" s="27">
        <f t="shared" si="0"/>
        <v>383462.82</v>
      </c>
    </row>
    <row r="20" spans="1:15" ht="12.2" customHeight="1" x14ac:dyDescent="0.25">
      <c r="A20" s="28"/>
      <c r="B20" s="32"/>
      <c r="C20" s="33"/>
      <c r="D20" s="33"/>
      <c r="E20" s="33"/>
      <c r="F20" s="33"/>
      <c r="G20" s="33"/>
      <c r="H20" s="33"/>
      <c r="I20" s="33"/>
      <c r="J20" s="23" t="s">
        <v>68</v>
      </c>
      <c r="K20" s="22" t="s">
        <v>69</v>
      </c>
      <c r="L20" s="25">
        <v>24</v>
      </c>
      <c r="M20" s="24">
        <v>690924</v>
      </c>
      <c r="N20" s="25">
        <v>32607</v>
      </c>
      <c r="O20" s="27">
        <f t="shared" si="0"/>
        <v>766925.64</v>
      </c>
    </row>
    <row r="21" spans="1:15" ht="12.2" customHeight="1" x14ac:dyDescent="0.25">
      <c r="A21" s="28"/>
      <c r="B21" s="32"/>
      <c r="C21" s="33"/>
      <c r="D21" s="33"/>
      <c r="E21" s="33"/>
      <c r="F21" s="33"/>
      <c r="G21" s="33"/>
      <c r="H21" s="33"/>
      <c r="I21" s="33"/>
      <c r="J21" s="22" t="s">
        <v>70</v>
      </c>
      <c r="K21" s="23" t="s">
        <v>71</v>
      </c>
      <c r="L21" s="24">
        <v>72</v>
      </c>
      <c r="M21" s="25">
        <v>1252299</v>
      </c>
      <c r="N21" s="26">
        <v>19700</v>
      </c>
      <c r="O21" s="27">
        <f t="shared" si="0"/>
        <v>1390051.8900000001</v>
      </c>
    </row>
    <row r="22" spans="1:15" ht="12.2" customHeight="1" x14ac:dyDescent="0.25">
      <c r="A22" s="28"/>
      <c r="B22" s="32"/>
      <c r="C22" s="33"/>
      <c r="D22" s="33"/>
      <c r="E22" s="33"/>
      <c r="F22" s="33"/>
      <c r="G22" s="33"/>
      <c r="H22" s="33"/>
      <c r="I22" s="33"/>
      <c r="J22" s="23" t="s">
        <v>72</v>
      </c>
      <c r="K22" s="22" t="s">
        <v>73</v>
      </c>
      <c r="L22" s="25">
        <v>72</v>
      </c>
      <c r="M22" s="24">
        <v>1252299</v>
      </c>
      <c r="N22" s="25">
        <v>19700</v>
      </c>
      <c r="O22" s="27">
        <f t="shared" si="0"/>
        <v>1390051.8900000001</v>
      </c>
    </row>
    <row r="23" spans="1:15" ht="12.2" customHeight="1" x14ac:dyDescent="0.25">
      <c r="A23" s="28"/>
      <c r="B23" s="32"/>
      <c r="C23" s="33"/>
      <c r="D23" s="33"/>
      <c r="E23" s="33"/>
      <c r="F23" s="33"/>
      <c r="G23" s="33"/>
      <c r="H23" s="33"/>
      <c r="I23" s="33"/>
      <c r="J23" s="42" t="s">
        <v>74</v>
      </c>
      <c r="K23" s="23" t="s">
        <v>75</v>
      </c>
      <c r="L23" s="24">
        <v>72</v>
      </c>
      <c r="M23" s="25">
        <v>1252299</v>
      </c>
      <c r="N23" s="26">
        <v>19700</v>
      </c>
      <c r="O23" s="27">
        <f t="shared" si="0"/>
        <v>1390051.8900000001</v>
      </c>
    </row>
    <row r="24" spans="1:15" ht="12.2" customHeight="1" x14ac:dyDescent="0.25">
      <c r="A24" s="28"/>
      <c r="B24" s="32"/>
      <c r="C24" s="33"/>
      <c r="D24" s="33"/>
      <c r="E24" s="33"/>
      <c r="F24" s="33"/>
      <c r="G24" s="33"/>
      <c r="H24" s="33"/>
      <c r="I24" s="33"/>
      <c r="J24" s="43" t="s">
        <v>76</v>
      </c>
      <c r="K24" s="22" t="s">
        <v>77</v>
      </c>
      <c r="L24" s="44">
        <v>72</v>
      </c>
      <c r="M24" s="24">
        <v>1252299</v>
      </c>
      <c r="N24" s="44">
        <v>19700</v>
      </c>
      <c r="O24" s="27">
        <f t="shared" si="0"/>
        <v>1390051.8900000001</v>
      </c>
    </row>
    <row r="25" spans="1:15" ht="12.2" customHeight="1" x14ac:dyDescent="0.25">
      <c r="A25" s="28"/>
      <c r="B25" s="32"/>
      <c r="C25" s="33"/>
      <c r="D25" s="33"/>
      <c r="E25" s="33"/>
      <c r="F25" s="33"/>
      <c r="G25" s="33"/>
      <c r="H25" s="33"/>
      <c r="I25" s="33"/>
      <c r="J25" s="42" t="s">
        <v>78</v>
      </c>
      <c r="K25" s="43" t="s">
        <v>79</v>
      </c>
      <c r="L25" s="24">
        <v>72</v>
      </c>
      <c r="M25" s="44">
        <v>1252299</v>
      </c>
      <c r="N25" s="26">
        <v>19700</v>
      </c>
      <c r="O25" s="27">
        <f t="shared" si="0"/>
        <v>1390051.8900000001</v>
      </c>
    </row>
    <row r="26" spans="1:15" ht="12.2" customHeight="1" x14ac:dyDescent="0.25">
      <c r="A26" s="28"/>
      <c r="B26" s="32"/>
      <c r="C26" s="33"/>
      <c r="D26" s="33"/>
      <c r="E26" s="33"/>
      <c r="F26" s="33"/>
      <c r="G26" s="33"/>
      <c r="H26" s="33"/>
      <c r="I26" s="33"/>
      <c r="J26" s="43" t="s">
        <v>80</v>
      </c>
      <c r="K26" s="22" t="s">
        <v>81</v>
      </c>
      <c r="L26" s="44">
        <v>36</v>
      </c>
      <c r="M26" s="24">
        <v>503798</v>
      </c>
      <c r="N26" s="44">
        <v>15851</v>
      </c>
      <c r="O26" s="27">
        <f t="shared" si="0"/>
        <v>559215.78</v>
      </c>
    </row>
    <row r="27" spans="1:15" ht="12.2" customHeight="1" x14ac:dyDescent="0.25">
      <c r="A27" s="28"/>
      <c r="B27" s="32"/>
      <c r="C27" s="33"/>
      <c r="D27" s="33"/>
      <c r="E27" s="33"/>
      <c r="F27" s="33"/>
      <c r="G27" s="33"/>
      <c r="H27" s="33"/>
      <c r="I27" s="33"/>
      <c r="J27" s="42" t="s">
        <v>35</v>
      </c>
      <c r="K27" s="43" t="s">
        <v>36</v>
      </c>
      <c r="L27" s="24">
        <v>96</v>
      </c>
      <c r="M27" s="44">
        <v>1343462</v>
      </c>
      <c r="N27" s="26">
        <v>15851</v>
      </c>
      <c r="O27" s="27">
        <f t="shared" si="0"/>
        <v>1491242.82</v>
      </c>
    </row>
    <row r="28" spans="1:15" ht="12.2" customHeight="1" x14ac:dyDescent="0.25">
      <c r="A28" s="28"/>
      <c r="B28" s="32"/>
      <c r="C28" s="33"/>
      <c r="D28" s="33"/>
      <c r="E28" s="33"/>
      <c r="F28" s="33"/>
      <c r="G28" s="33"/>
      <c r="H28" s="33"/>
      <c r="I28" s="33"/>
      <c r="J28" s="43" t="s">
        <v>82</v>
      </c>
      <c r="K28" s="22" t="s">
        <v>83</v>
      </c>
      <c r="L28" s="44">
        <v>36</v>
      </c>
      <c r="M28" s="24">
        <v>755698</v>
      </c>
      <c r="N28" s="44">
        <v>23776</v>
      </c>
      <c r="O28" s="27">
        <f t="shared" si="0"/>
        <v>838824.78</v>
      </c>
    </row>
    <row r="29" spans="1:15" ht="12.2" customHeight="1" x14ac:dyDescent="0.25">
      <c r="A29" s="28"/>
      <c r="B29" s="32"/>
      <c r="C29" s="34"/>
      <c r="D29" s="34"/>
      <c r="E29" s="34"/>
      <c r="F29" s="34"/>
      <c r="G29" s="34"/>
      <c r="H29" s="34"/>
      <c r="I29" s="34"/>
      <c r="J29" s="42" t="s">
        <v>56</v>
      </c>
      <c r="K29" s="45" t="s">
        <v>57</v>
      </c>
      <c r="L29" s="24">
        <v>72</v>
      </c>
      <c r="M29" s="46">
        <v>1086765</v>
      </c>
      <c r="N29" s="26">
        <v>17096</v>
      </c>
      <c r="O29" s="27">
        <f t="shared" si="0"/>
        <v>1206309.1500000001</v>
      </c>
    </row>
    <row r="30" spans="1:15" ht="12.2" customHeight="1" x14ac:dyDescent="0.25">
      <c r="A30" s="28"/>
      <c r="B30" s="32"/>
      <c r="C30" s="30" t="s">
        <v>84</v>
      </c>
      <c r="D30" s="31" t="s">
        <v>85</v>
      </c>
      <c r="E30" s="31" t="s">
        <v>86</v>
      </c>
      <c r="F30" s="31" t="s">
        <v>87</v>
      </c>
      <c r="G30" s="31" t="s">
        <v>88</v>
      </c>
      <c r="H30" s="31" t="s">
        <v>62</v>
      </c>
      <c r="I30" s="31" t="s">
        <v>89</v>
      </c>
      <c r="J30" s="22" t="s">
        <v>35</v>
      </c>
      <c r="K30" s="23" t="s">
        <v>36</v>
      </c>
      <c r="L30" s="24">
        <v>2520</v>
      </c>
      <c r="M30" s="25">
        <v>32914829</v>
      </c>
      <c r="N30" s="26">
        <v>31702</v>
      </c>
      <c r="O30" s="27">
        <f t="shared" si="0"/>
        <v>36535460.190000005</v>
      </c>
    </row>
    <row r="31" spans="1:15" ht="12.2" customHeight="1" x14ac:dyDescent="0.25">
      <c r="A31" s="28"/>
      <c r="B31" s="32"/>
      <c r="C31" s="33"/>
      <c r="D31" s="33"/>
      <c r="E31" s="33"/>
      <c r="F31" s="33"/>
      <c r="G31" s="33"/>
      <c r="H31" s="33"/>
      <c r="I31" s="33"/>
      <c r="J31" s="47" t="s">
        <v>37</v>
      </c>
      <c r="K31" s="22" t="s">
        <v>38</v>
      </c>
      <c r="L31" s="44">
        <v>2520</v>
      </c>
      <c r="M31" s="24">
        <v>49372243</v>
      </c>
      <c r="N31" s="44">
        <v>47552</v>
      </c>
      <c r="O31" s="27">
        <f t="shared" si="0"/>
        <v>54803189.730000004</v>
      </c>
    </row>
    <row r="32" spans="1:15" ht="12.2" customHeight="1" x14ac:dyDescent="0.25">
      <c r="A32" s="28"/>
      <c r="B32" s="32"/>
      <c r="C32" s="33"/>
      <c r="D32" s="33"/>
      <c r="E32" s="33"/>
      <c r="F32" s="33"/>
      <c r="G32" s="33"/>
      <c r="H32" s="33"/>
      <c r="I32" s="33"/>
      <c r="J32" s="22" t="s">
        <v>90</v>
      </c>
      <c r="K32" s="43" t="s">
        <v>91</v>
      </c>
      <c r="L32" s="24">
        <v>252</v>
      </c>
      <c r="M32" s="44">
        <v>916913</v>
      </c>
      <c r="N32" s="26">
        <v>8831</v>
      </c>
      <c r="O32" s="27">
        <f t="shared" si="0"/>
        <v>1017773.43</v>
      </c>
    </row>
    <row r="33" spans="1:15" ht="12.2" customHeight="1" x14ac:dyDescent="0.25">
      <c r="A33" s="28"/>
      <c r="B33" s="32"/>
      <c r="C33" s="33"/>
      <c r="D33" s="34"/>
      <c r="E33" s="34"/>
      <c r="F33" s="34"/>
      <c r="G33" s="34"/>
      <c r="H33" s="34"/>
      <c r="I33" s="34"/>
      <c r="J33" s="47" t="s">
        <v>56</v>
      </c>
      <c r="K33" s="22" t="s">
        <v>57</v>
      </c>
      <c r="L33" s="44">
        <v>252</v>
      </c>
      <c r="M33" s="24">
        <v>3550099</v>
      </c>
      <c r="N33" s="44">
        <v>34192</v>
      </c>
      <c r="O33" s="27">
        <f t="shared" si="0"/>
        <v>3940609.89</v>
      </c>
    </row>
    <row r="34" spans="1:15" ht="12.2" customHeight="1" x14ac:dyDescent="0.25">
      <c r="A34" s="28"/>
      <c r="B34" s="32"/>
      <c r="C34" s="33"/>
      <c r="D34" s="31" t="s">
        <v>92</v>
      </c>
      <c r="E34" s="31" t="s">
        <v>93</v>
      </c>
      <c r="F34" s="31" t="s">
        <v>94</v>
      </c>
      <c r="G34" s="31" t="s">
        <v>95</v>
      </c>
      <c r="H34" s="31" t="s">
        <v>96</v>
      </c>
      <c r="I34" s="31" t="s">
        <v>97</v>
      </c>
      <c r="J34" s="22" t="s">
        <v>98</v>
      </c>
      <c r="K34" s="43" t="s">
        <v>99</v>
      </c>
      <c r="L34" s="24">
        <v>36</v>
      </c>
      <c r="M34" s="44">
        <v>89964</v>
      </c>
      <c r="N34" s="26">
        <v>2831</v>
      </c>
      <c r="O34" s="27">
        <f t="shared" si="0"/>
        <v>99860.040000000008</v>
      </c>
    </row>
    <row r="35" spans="1:15" ht="12.2" customHeight="1" x14ac:dyDescent="0.25">
      <c r="A35" s="28"/>
      <c r="B35" s="32"/>
      <c r="C35" s="33"/>
      <c r="D35" s="33"/>
      <c r="E35" s="33"/>
      <c r="F35" s="33"/>
      <c r="G35" s="33"/>
      <c r="H35" s="33"/>
      <c r="I35" s="33"/>
      <c r="J35" s="47" t="s">
        <v>100</v>
      </c>
      <c r="K35" s="22" t="s">
        <v>101</v>
      </c>
      <c r="L35" s="44">
        <v>36</v>
      </c>
      <c r="M35" s="24">
        <v>89964</v>
      </c>
      <c r="N35" s="44">
        <v>2831</v>
      </c>
      <c r="O35" s="27">
        <f t="shared" si="0"/>
        <v>99860.040000000008</v>
      </c>
    </row>
    <row r="36" spans="1:15" ht="12.2" customHeight="1" x14ac:dyDescent="0.25">
      <c r="A36" s="28"/>
      <c r="B36" s="32"/>
      <c r="C36" s="33"/>
      <c r="D36" s="33"/>
      <c r="E36" s="33"/>
      <c r="F36" s="33"/>
      <c r="G36" s="33"/>
      <c r="H36" s="33"/>
      <c r="I36" s="33"/>
      <c r="J36" s="22" t="s">
        <v>102</v>
      </c>
      <c r="K36" s="43" t="s">
        <v>103</v>
      </c>
      <c r="L36" s="24">
        <v>36</v>
      </c>
      <c r="M36" s="44">
        <v>89964</v>
      </c>
      <c r="N36" s="26">
        <v>2831</v>
      </c>
      <c r="O36" s="27">
        <f t="shared" si="0"/>
        <v>99860.040000000008</v>
      </c>
    </row>
    <row r="37" spans="1:15" ht="12.2" customHeight="1" x14ac:dyDescent="0.25">
      <c r="A37" s="28"/>
      <c r="B37" s="32"/>
      <c r="C37" s="33"/>
      <c r="D37" s="33"/>
      <c r="E37" s="33"/>
      <c r="F37" s="33"/>
      <c r="G37" s="33"/>
      <c r="H37" s="33"/>
      <c r="I37" s="33"/>
      <c r="J37" s="47" t="s">
        <v>80</v>
      </c>
      <c r="K37" s="22" t="s">
        <v>81</v>
      </c>
      <c r="L37" s="44">
        <v>48</v>
      </c>
      <c r="M37" s="24">
        <v>671731</v>
      </c>
      <c r="N37" s="44">
        <v>15851</v>
      </c>
      <c r="O37" s="27">
        <f t="shared" si="0"/>
        <v>745621.41</v>
      </c>
    </row>
    <row r="38" spans="1:15" ht="12.2" customHeight="1" x14ac:dyDescent="0.25">
      <c r="A38" s="28"/>
      <c r="B38" s="32"/>
      <c r="C38" s="33"/>
      <c r="D38" s="33"/>
      <c r="E38" s="33"/>
      <c r="F38" s="33"/>
      <c r="G38" s="33"/>
      <c r="H38" s="33"/>
      <c r="I38" s="33"/>
      <c r="J38" s="22" t="s">
        <v>35</v>
      </c>
      <c r="K38" s="43" t="s">
        <v>36</v>
      </c>
      <c r="L38" s="24">
        <v>48</v>
      </c>
      <c r="M38" s="44">
        <v>671731</v>
      </c>
      <c r="N38" s="26">
        <v>15851</v>
      </c>
      <c r="O38" s="27">
        <f t="shared" si="0"/>
        <v>745621.41</v>
      </c>
    </row>
    <row r="39" spans="1:15" ht="12.2" customHeight="1" x14ac:dyDescent="0.25">
      <c r="A39" s="28"/>
      <c r="B39" s="32"/>
      <c r="C39" s="33"/>
      <c r="D39" s="33"/>
      <c r="E39" s="33"/>
      <c r="F39" s="33"/>
      <c r="G39" s="33"/>
      <c r="H39" s="33"/>
      <c r="I39" s="33"/>
      <c r="J39" s="47" t="s">
        <v>82</v>
      </c>
      <c r="K39" s="22" t="s">
        <v>83</v>
      </c>
      <c r="L39" s="44">
        <v>60</v>
      </c>
      <c r="M39" s="24">
        <v>1259496</v>
      </c>
      <c r="N39" s="44">
        <v>23776</v>
      </c>
      <c r="O39" s="27">
        <f t="shared" si="0"/>
        <v>1398040.56</v>
      </c>
    </row>
    <row r="40" spans="1:15" ht="12.2" customHeight="1" x14ac:dyDescent="0.25">
      <c r="A40" s="28"/>
      <c r="B40" s="32"/>
      <c r="C40" s="33"/>
      <c r="D40" s="33"/>
      <c r="E40" s="33"/>
      <c r="F40" s="33"/>
      <c r="G40" s="33"/>
      <c r="H40" s="33"/>
      <c r="I40" s="33"/>
      <c r="J40" s="22" t="s">
        <v>37</v>
      </c>
      <c r="K40" s="43" t="s">
        <v>38</v>
      </c>
      <c r="L40" s="24">
        <v>60</v>
      </c>
      <c r="M40" s="44">
        <v>1259496</v>
      </c>
      <c r="N40" s="26">
        <v>23776</v>
      </c>
      <c r="O40" s="27">
        <f t="shared" si="0"/>
        <v>1398040.56</v>
      </c>
    </row>
    <row r="41" spans="1:15" ht="12.2" customHeight="1" x14ac:dyDescent="0.25">
      <c r="A41" s="28"/>
      <c r="B41" s="32"/>
      <c r="C41" s="33"/>
      <c r="D41" s="33"/>
      <c r="E41" s="33"/>
      <c r="F41" s="33"/>
      <c r="G41" s="33"/>
      <c r="H41" s="33"/>
      <c r="I41" s="33"/>
      <c r="J41" s="47" t="s">
        <v>104</v>
      </c>
      <c r="K41" s="22" t="s">
        <v>105</v>
      </c>
      <c r="L41" s="44">
        <v>24</v>
      </c>
      <c r="M41" s="24">
        <v>969212</v>
      </c>
      <c r="N41" s="44">
        <v>45741</v>
      </c>
      <c r="O41" s="27">
        <f t="shared" si="0"/>
        <v>1075825.32</v>
      </c>
    </row>
    <row r="42" spans="1:15" ht="12.2" customHeight="1" x14ac:dyDescent="0.25">
      <c r="A42" s="28"/>
      <c r="B42" s="32"/>
      <c r="C42" s="33"/>
      <c r="D42" s="33"/>
      <c r="E42" s="33"/>
      <c r="F42" s="33"/>
      <c r="G42" s="33"/>
      <c r="H42" s="33"/>
      <c r="I42" s="33"/>
      <c r="J42" s="22" t="s">
        <v>27</v>
      </c>
      <c r="K42" s="43" t="s">
        <v>28</v>
      </c>
      <c r="L42" s="24">
        <v>24</v>
      </c>
      <c r="M42" s="44">
        <v>969212</v>
      </c>
      <c r="N42" s="26">
        <v>45741</v>
      </c>
      <c r="O42" s="27">
        <f t="shared" si="0"/>
        <v>1075825.32</v>
      </c>
    </row>
    <row r="43" spans="1:15" ht="12.2" customHeight="1" x14ac:dyDescent="0.25">
      <c r="A43" s="28"/>
      <c r="B43" s="32"/>
      <c r="C43" s="34"/>
      <c r="D43" s="34"/>
      <c r="E43" s="34"/>
      <c r="F43" s="34"/>
      <c r="G43" s="34"/>
      <c r="H43" s="34"/>
      <c r="I43" s="34"/>
      <c r="J43" s="48" t="s">
        <v>56</v>
      </c>
      <c r="K43" s="22" t="s">
        <v>57</v>
      </c>
      <c r="L43" s="46">
        <v>36</v>
      </c>
      <c r="M43" s="24">
        <v>543383</v>
      </c>
      <c r="N43" s="46">
        <v>17096</v>
      </c>
      <c r="O43" s="27">
        <f t="shared" si="0"/>
        <v>603155.13</v>
      </c>
    </row>
    <row r="44" spans="1:15" ht="12.2" customHeight="1" x14ac:dyDescent="0.25">
      <c r="A44" s="28"/>
      <c r="B44" s="32"/>
      <c r="C44" s="30" t="s">
        <v>106</v>
      </c>
      <c r="D44" s="31" t="s">
        <v>107</v>
      </c>
      <c r="E44" s="31" t="s">
        <v>108</v>
      </c>
      <c r="F44" s="31" t="s">
        <v>109</v>
      </c>
      <c r="G44" s="31" t="s">
        <v>110</v>
      </c>
      <c r="H44" s="31" t="s">
        <v>111</v>
      </c>
      <c r="I44" s="31" t="s">
        <v>112</v>
      </c>
      <c r="J44" s="49" t="s">
        <v>35</v>
      </c>
      <c r="K44" s="22" t="s">
        <v>36</v>
      </c>
      <c r="L44" s="50">
        <v>12</v>
      </c>
      <c r="M44" s="24">
        <v>171360</v>
      </c>
      <c r="N44" s="50">
        <v>15851</v>
      </c>
      <c r="O44" s="27">
        <f t="shared" si="0"/>
        <v>190209.6</v>
      </c>
    </row>
    <row r="45" spans="1:15" ht="12.2" customHeight="1" x14ac:dyDescent="0.25">
      <c r="A45" s="28"/>
      <c r="B45" s="32"/>
      <c r="C45" s="33"/>
      <c r="D45" s="33"/>
      <c r="E45" s="33"/>
      <c r="F45" s="33"/>
      <c r="G45" s="33"/>
      <c r="H45" s="33"/>
      <c r="I45" s="33"/>
      <c r="J45" s="22" t="s">
        <v>37</v>
      </c>
      <c r="K45" s="43" t="s">
        <v>38</v>
      </c>
      <c r="L45" s="24">
        <v>24</v>
      </c>
      <c r="M45" s="44">
        <v>514080</v>
      </c>
      <c r="N45" s="26">
        <v>23776</v>
      </c>
      <c r="O45" s="27">
        <f t="shared" si="0"/>
        <v>570628.80000000005</v>
      </c>
    </row>
    <row r="46" spans="1:15" ht="12.2" customHeight="1" x14ac:dyDescent="0.25">
      <c r="A46" s="28"/>
      <c r="B46" s="32"/>
      <c r="C46" s="33"/>
      <c r="D46" s="33"/>
      <c r="E46" s="33"/>
      <c r="F46" s="33"/>
      <c r="G46" s="33"/>
      <c r="H46" s="33"/>
      <c r="I46" s="33"/>
      <c r="J46" s="43" t="s">
        <v>90</v>
      </c>
      <c r="K46" s="22" t="s">
        <v>91</v>
      </c>
      <c r="L46" s="44">
        <v>12</v>
      </c>
      <c r="M46" s="24">
        <v>47736</v>
      </c>
      <c r="N46" s="44">
        <v>4416</v>
      </c>
      <c r="O46" s="27">
        <f t="shared" si="0"/>
        <v>52986.960000000006</v>
      </c>
    </row>
    <row r="47" spans="1:15" ht="12.2" customHeight="1" x14ac:dyDescent="0.25">
      <c r="A47" s="28"/>
      <c r="B47" s="32"/>
      <c r="C47" s="34"/>
      <c r="D47" s="34"/>
      <c r="E47" s="34"/>
      <c r="F47" s="34"/>
      <c r="G47" s="34"/>
      <c r="H47" s="34"/>
      <c r="I47" s="34"/>
      <c r="J47" s="22" t="s">
        <v>56</v>
      </c>
      <c r="K47" s="43" t="s">
        <v>57</v>
      </c>
      <c r="L47" s="24">
        <v>12</v>
      </c>
      <c r="M47" s="44">
        <v>184824</v>
      </c>
      <c r="N47" s="26">
        <v>17096</v>
      </c>
      <c r="O47" s="27">
        <f t="shared" si="0"/>
        <v>205154.64</v>
      </c>
    </row>
    <row r="48" spans="1:15" ht="12.2" customHeight="1" x14ac:dyDescent="0.25">
      <c r="A48" s="28"/>
      <c r="B48" s="32"/>
      <c r="C48" s="51" t="s">
        <v>113</v>
      </c>
      <c r="D48" s="22" t="s">
        <v>114</v>
      </c>
      <c r="E48" s="45" t="s">
        <v>115</v>
      </c>
      <c r="F48" s="22" t="s">
        <v>116</v>
      </c>
      <c r="G48" s="45" t="s">
        <v>117</v>
      </c>
      <c r="H48" s="22" t="s">
        <v>117</v>
      </c>
      <c r="I48" s="45" t="s">
        <v>26</v>
      </c>
      <c r="J48" s="52" t="s">
        <v>35</v>
      </c>
      <c r="K48" s="38" t="s">
        <v>36</v>
      </c>
      <c r="L48" s="53">
        <v>12</v>
      </c>
      <c r="M48" s="39">
        <v>171361</v>
      </c>
      <c r="N48" s="54">
        <v>15851</v>
      </c>
      <c r="O48" s="27">
        <f t="shared" si="0"/>
        <v>190210.71000000002</v>
      </c>
    </row>
    <row r="49" spans="1:15" ht="12.2" customHeight="1" x14ac:dyDescent="0.25">
      <c r="A49" s="28"/>
      <c r="B49" s="32"/>
      <c r="C49" s="30" t="s">
        <v>118</v>
      </c>
      <c r="D49" s="31" t="s">
        <v>119</v>
      </c>
      <c r="E49" s="31" t="s">
        <v>120</v>
      </c>
      <c r="F49" s="31" t="s">
        <v>121</v>
      </c>
      <c r="G49" s="31" t="s">
        <v>122</v>
      </c>
      <c r="H49" s="31" t="s">
        <v>122</v>
      </c>
      <c r="I49" s="31" t="s">
        <v>26</v>
      </c>
      <c r="J49" s="22" t="s">
        <v>37</v>
      </c>
      <c r="K49" s="23" t="s">
        <v>38</v>
      </c>
      <c r="L49" s="24">
        <v>24</v>
      </c>
      <c r="M49" s="25">
        <v>514080</v>
      </c>
      <c r="N49" s="26">
        <v>23776</v>
      </c>
      <c r="O49" s="27">
        <f t="shared" si="0"/>
        <v>570628.80000000005</v>
      </c>
    </row>
    <row r="50" spans="1:15" ht="12.2" customHeight="1" x14ac:dyDescent="0.25">
      <c r="A50" s="28"/>
      <c r="B50" s="32"/>
      <c r="C50" s="34"/>
      <c r="D50" s="34"/>
      <c r="E50" s="34"/>
      <c r="F50" s="34"/>
      <c r="G50" s="34"/>
      <c r="H50" s="34"/>
      <c r="I50" s="34"/>
      <c r="J50" s="48" t="s">
        <v>27</v>
      </c>
      <c r="K50" s="22" t="s">
        <v>28</v>
      </c>
      <c r="L50" s="46">
        <v>36</v>
      </c>
      <c r="M50" s="24">
        <v>1483488</v>
      </c>
      <c r="N50" s="46">
        <v>45741</v>
      </c>
      <c r="O50" s="27">
        <f t="shared" si="0"/>
        <v>1646671.6800000002</v>
      </c>
    </row>
    <row r="51" spans="1:15" ht="12.2" customHeight="1" x14ac:dyDescent="0.25">
      <c r="A51" s="28"/>
      <c r="B51" s="32"/>
      <c r="C51" s="30" t="s">
        <v>123</v>
      </c>
      <c r="D51" s="31" t="s">
        <v>124</v>
      </c>
      <c r="E51" s="31" t="s">
        <v>125</v>
      </c>
      <c r="F51" s="31" t="s">
        <v>126</v>
      </c>
      <c r="G51" s="31" t="s">
        <v>127</v>
      </c>
      <c r="H51" s="31" t="s">
        <v>117</v>
      </c>
      <c r="I51" s="31" t="s">
        <v>26</v>
      </c>
      <c r="J51" s="23" t="s">
        <v>35</v>
      </c>
      <c r="K51" s="22" t="s">
        <v>36</v>
      </c>
      <c r="L51" s="25">
        <v>12</v>
      </c>
      <c r="M51" s="24">
        <v>171360</v>
      </c>
      <c r="N51" s="25">
        <v>15851</v>
      </c>
      <c r="O51" s="27">
        <f t="shared" si="0"/>
        <v>190209.6</v>
      </c>
    </row>
    <row r="52" spans="1:15" ht="12.2" customHeight="1" x14ac:dyDescent="0.25">
      <c r="A52" s="28"/>
      <c r="B52" s="32"/>
      <c r="C52" s="33"/>
      <c r="D52" s="33"/>
      <c r="E52" s="33"/>
      <c r="F52" s="33"/>
      <c r="G52" s="33"/>
      <c r="H52" s="33"/>
      <c r="I52" s="33"/>
      <c r="J52" s="22" t="s">
        <v>37</v>
      </c>
      <c r="K52" s="43" t="s">
        <v>38</v>
      </c>
      <c r="L52" s="24">
        <v>12</v>
      </c>
      <c r="M52" s="44">
        <v>257040</v>
      </c>
      <c r="N52" s="26">
        <v>23776</v>
      </c>
      <c r="O52" s="27">
        <f t="shared" si="0"/>
        <v>285314.40000000002</v>
      </c>
    </row>
    <row r="53" spans="1:15" ht="12.2" customHeight="1" x14ac:dyDescent="0.25">
      <c r="A53" s="28"/>
      <c r="B53" s="32"/>
      <c r="C53" s="33"/>
      <c r="D53" s="33"/>
      <c r="E53" s="33"/>
      <c r="F53" s="33"/>
      <c r="G53" s="33"/>
      <c r="H53" s="33"/>
      <c r="I53" s="33"/>
      <c r="J53" s="43" t="s">
        <v>27</v>
      </c>
      <c r="K53" s="22" t="s">
        <v>28</v>
      </c>
      <c r="L53" s="44">
        <v>6</v>
      </c>
      <c r="M53" s="24">
        <v>247248</v>
      </c>
      <c r="N53" s="44">
        <v>45741</v>
      </c>
      <c r="O53" s="27">
        <f t="shared" si="0"/>
        <v>274445.28000000003</v>
      </c>
    </row>
    <row r="54" spans="1:15" ht="12.2" customHeight="1" x14ac:dyDescent="0.25">
      <c r="A54" s="28"/>
      <c r="B54" s="32"/>
      <c r="C54" s="33"/>
      <c r="D54" s="34"/>
      <c r="E54" s="34"/>
      <c r="F54" s="34"/>
      <c r="G54" s="34"/>
      <c r="H54" s="34"/>
      <c r="I54" s="34"/>
      <c r="J54" s="22" t="s">
        <v>56</v>
      </c>
      <c r="K54" s="43" t="s">
        <v>57</v>
      </c>
      <c r="L54" s="24">
        <v>12</v>
      </c>
      <c r="M54" s="44">
        <v>184824</v>
      </c>
      <c r="N54" s="26">
        <v>17096</v>
      </c>
      <c r="O54" s="27">
        <f t="shared" si="0"/>
        <v>205154.64</v>
      </c>
    </row>
    <row r="55" spans="1:15" ht="12.2" customHeight="1" x14ac:dyDescent="0.25">
      <c r="A55" s="28"/>
      <c r="B55" s="32"/>
      <c r="C55" s="33"/>
      <c r="D55" s="31" t="s">
        <v>128</v>
      </c>
      <c r="E55" s="31" t="s">
        <v>129</v>
      </c>
      <c r="F55" s="31" t="s">
        <v>130</v>
      </c>
      <c r="G55" s="31" t="s">
        <v>131</v>
      </c>
      <c r="H55" s="31" t="s">
        <v>43</v>
      </c>
      <c r="I55" s="31" t="s">
        <v>26</v>
      </c>
      <c r="J55" s="43" t="s">
        <v>132</v>
      </c>
      <c r="K55" s="22" t="s">
        <v>133</v>
      </c>
      <c r="L55" s="44">
        <v>5</v>
      </c>
      <c r="M55" s="24">
        <v>106457</v>
      </c>
      <c r="N55" s="44">
        <v>24116</v>
      </c>
      <c r="O55" s="27">
        <f t="shared" si="0"/>
        <v>118167.27</v>
      </c>
    </row>
    <row r="56" spans="1:15" ht="12.2" customHeight="1" x14ac:dyDescent="0.25">
      <c r="A56" s="28"/>
      <c r="B56" s="32"/>
      <c r="C56" s="33"/>
      <c r="D56" s="33"/>
      <c r="E56" s="33"/>
      <c r="F56" s="33"/>
      <c r="G56" s="33"/>
      <c r="H56" s="33"/>
      <c r="I56" s="33"/>
      <c r="J56" s="55" t="s">
        <v>134</v>
      </c>
      <c r="K56" s="43" t="s">
        <v>135</v>
      </c>
      <c r="L56" s="56">
        <v>6</v>
      </c>
      <c r="M56" s="44">
        <v>127749</v>
      </c>
      <c r="N56" s="57">
        <v>24116</v>
      </c>
      <c r="O56" s="27">
        <f t="shared" si="0"/>
        <v>141801.39000000001</v>
      </c>
    </row>
    <row r="57" spans="1:15" ht="12.2" customHeight="1" x14ac:dyDescent="0.25">
      <c r="A57" s="28"/>
      <c r="B57" s="32"/>
      <c r="C57" s="33"/>
      <c r="D57" s="33"/>
      <c r="E57" s="33"/>
      <c r="F57" s="33"/>
      <c r="G57" s="33"/>
      <c r="H57" s="33"/>
      <c r="I57" s="33"/>
      <c r="J57" s="49" t="s">
        <v>98</v>
      </c>
      <c r="K57" s="58" t="s">
        <v>99</v>
      </c>
      <c r="L57" s="50">
        <v>12</v>
      </c>
      <c r="M57" s="56">
        <v>29988</v>
      </c>
      <c r="N57" s="50">
        <v>2831</v>
      </c>
      <c r="O57" s="27">
        <f t="shared" si="0"/>
        <v>33286.68</v>
      </c>
    </row>
    <row r="58" spans="1:15" ht="12.2" customHeight="1" x14ac:dyDescent="0.25">
      <c r="A58" s="28"/>
      <c r="B58" s="32"/>
      <c r="C58" s="33"/>
      <c r="D58" s="33"/>
      <c r="E58" s="33"/>
      <c r="F58" s="33"/>
      <c r="G58" s="33"/>
      <c r="H58" s="33"/>
      <c r="I58" s="33"/>
      <c r="J58" s="55" t="s">
        <v>100</v>
      </c>
      <c r="K58" s="49" t="s">
        <v>101</v>
      </c>
      <c r="L58" s="56">
        <v>12</v>
      </c>
      <c r="M58" s="50">
        <v>29988</v>
      </c>
      <c r="N58" s="57">
        <v>2831</v>
      </c>
      <c r="O58" s="27">
        <f t="shared" si="0"/>
        <v>33286.68</v>
      </c>
    </row>
    <row r="59" spans="1:15" ht="12.2" customHeight="1" x14ac:dyDescent="0.25">
      <c r="A59" s="28"/>
      <c r="B59" s="32"/>
      <c r="C59" s="33"/>
      <c r="D59" s="33"/>
      <c r="E59" s="33"/>
      <c r="F59" s="33"/>
      <c r="G59" s="33"/>
      <c r="H59" s="33"/>
      <c r="I59" s="33"/>
      <c r="J59" s="49" t="s">
        <v>136</v>
      </c>
      <c r="K59" s="58" t="s">
        <v>137</v>
      </c>
      <c r="L59" s="50">
        <v>12</v>
      </c>
      <c r="M59" s="56">
        <v>29988</v>
      </c>
      <c r="N59" s="50">
        <v>2831</v>
      </c>
      <c r="O59" s="27">
        <f t="shared" si="0"/>
        <v>33286.68</v>
      </c>
    </row>
    <row r="60" spans="1:15" ht="12.2" customHeight="1" x14ac:dyDescent="0.25">
      <c r="A60" s="28"/>
      <c r="B60" s="32"/>
      <c r="C60" s="33"/>
      <c r="D60" s="33"/>
      <c r="E60" s="33"/>
      <c r="F60" s="33"/>
      <c r="G60" s="33"/>
      <c r="H60" s="33"/>
      <c r="I60" s="33"/>
      <c r="J60" s="55" t="s">
        <v>102</v>
      </c>
      <c r="K60" s="49" t="s">
        <v>103</v>
      </c>
      <c r="L60" s="56">
        <v>12</v>
      </c>
      <c r="M60" s="50">
        <v>29988</v>
      </c>
      <c r="N60" s="57">
        <v>2831</v>
      </c>
      <c r="O60" s="27">
        <f t="shared" si="0"/>
        <v>33286.68</v>
      </c>
    </row>
    <row r="61" spans="1:15" ht="12.2" customHeight="1" x14ac:dyDescent="0.25">
      <c r="A61" s="28"/>
      <c r="B61" s="32"/>
      <c r="C61" s="33"/>
      <c r="D61" s="33"/>
      <c r="E61" s="33"/>
      <c r="F61" s="33"/>
      <c r="G61" s="33"/>
      <c r="H61" s="33"/>
      <c r="I61" s="33"/>
      <c r="J61" s="49" t="s">
        <v>138</v>
      </c>
      <c r="K61" s="58" t="s">
        <v>139</v>
      </c>
      <c r="L61" s="50">
        <v>6</v>
      </c>
      <c r="M61" s="56">
        <v>97761</v>
      </c>
      <c r="N61" s="50">
        <v>18455</v>
      </c>
      <c r="O61" s="27">
        <f t="shared" si="0"/>
        <v>108514.71</v>
      </c>
    </row>
    <row r="62" spans="1:15" ht="12.2" customHeight="1" x14ac:dyDescent="0.25">
      <c r="A62" s="28"/>
      <c r="B62" s="32"/>
      <c r="C62" s="33"/>
      <c r="D62" s="33"/>
      <c r="E62" s="33"/>
      <c r="F62" s="33"/>
      <c r="G62" s="33"/>
      <c r="H62" s="33"/>
      <c r="I62" s="33"/>
      <c r="J62" s="55" t="s">
        <v>140</v>
      </c>
      <c r="K62" s="49" t="s">
        <v>141</v>
      </c>
      <c r="L62" s="56">
        <v>6</v>
      </c>
      <c r="M62" s="50">
        <v>97761</v>
      </c>
      <c r="N62" s="57">
        <v>18455</v>
      </c>
      <c r="O62" s="27">
        <f t="shared" si="0"/>
        <v>108514.71</v>
      </c>
    </row>
    <row r="63" spans="1:15" ht="12.2" customHeight="1" x14ac:dyDescent="0.25">
      <c r="A63" s="28"/>
      <c r="B63" s="32"/>
      <c r="C63" s="33"/>
      <c r="D63" s="33"/>
      <c r="E63" s="33"/>
      <c r="F63" s="33"/>
      <c r="G63" s="33"/>
      <c r="H63" s="33"/>
      <c r="I63" s="33"/>
      <c r="J63" s="49" t="s">
        <v>64</v>
      </c>
      <c r="K63" s="58" t="s">
        <v>65</v>
      </c>
      <c r="L63" s="50">
        <v>4</v>
      </c>
      <c r="M63" s="56">
        <v>115154</v>
      </c>
      <c r="N63" s="50">
        <v>32607</v>
      </c>
      <c r="O63" s="27">
        <f t="shared" si="0"/>
        <v>127820.94000000002</v>
      </c>
    </row>
    <row r="64" spans="1:15" ht="12.2" customHeight="1" x14ac:dyDescent="0.25">
      <c r="A64" s="28"/>
      <c r="B64" s="32"/>
      <c r="C64" s="33"/>
      <c r="D64" s="33"/>
      <c r="E64" s="33"/>
      <c r="F64" s="33"/>
      <c r="G64" s="33"/>
      <c r="H64" s="33"/>
      <c r="I64" s="33"/>
      <c r="J64" s="55" t="s">
        <v>142</v>
      </c>
      <c r="K64" s="49" t="s">
        <v>143</v>
      </c>
      <c r="L64" s="56">
        <v>4</v>
      </c>
      <c r="M64" s="50">
        <v>115154</v>
      </c>
      <c r="N64" s="57">
        <v>32607</v>
      </c>
      <c r="O64" s="27">
        <f t="shared" si="0"/>
        <v>127820.94000000002</v>
      </c>
    </row>
    <row r="65" spans="1:15" ht="12.2" customHeight="1" x14ac:dyDescent="0.25">
      <c r="A65" s="28"/>
      <c r="B65" s="32"/>
      <c r="C65" s="33"/>
      <c r="D65" s="33"/>
      <c r="E65" s="33"/>
      <c r="F65" s="33"/>
      <c r="G65" s="33"/>
      <c r="H65" s="33"/>
      <c r="I65" s="33"/>
      <c r="J65" s="49" t="s">
        <v>68</v>
      </c>
      <c r="K65" s="58" t="s">
        <v>69</v>
      </c>
      <c r="L65" s="50">
        <v>4</v>
      </c>
      <c r="M65" s="56">
        <v>115154</v>
      </c>
      <c r="N65" s="50">
        <v>32607</v>
      </c>
      <c r="O65" s="27">
        <f t="shared" si="0"/>
        <v>127820.94000000002</v>
      </c>
    </row>
    <row r="66" spans="1:15" ht="12.2" customHeight="1" x14ac:dyDescent="0.25">
      <c r="A66" s="28"/>
      <c r="B66" s="32"/>
      <c r="C66" s="33"/>
      <c r="D66" s="33"/>
      <c r="E66" s="33"/>
      <c r="F66" s="33"/>
      <c r="G66" s="33"/>
      <c r="H66" s="33"/>
      <c r="I66" s="33"/>
      <c r="J66" s="55" t="s">
        <v>70</v>
      </c>
      <c r="K66" s="49" t="s">
        <v>71</v>
      </c>
      <c r="L66" s="56">
        <v>6</v>
      </c>
      <c r="M66" s="50">
        <v>104358</v>
      </c>
      <c r="N66" s="57">
        <v>19700</v>
      </c>
      <c r="O66" s="27">
        <f t="shared" si="0"/>
        <v>115837.38</v>
      </c>
    </row>
    <row r="67" spans="1:15" ht="12.2" customHeight="1" x14ac:dyDescent="0.25">
      <c r="A67" s="28"/>
      <c r="B67" s="32"/>
      <c r="C67" s="33"/>
      <c r="D67" s="33"/>
      <c r="E67" s="33"/>
      <c r="F67" s="33"/>
      <c r="G67" s="33"/>
      <c r="H67" s="33"/>
      <c r="I67" s="33"/>
      <c r="J67" s="49" t="s">
        <v>72</v>
      </c>
      <c r="K67" s="58" t="s">
        <v>73</v>
      </c>
      <c r="L67" s="50">
        <v>6</v>
      </c>
      <c r="M67" s="56">
        <v>104358</v>
      </c>
      <c r="N67" s="50">
        <v>19700</v>
      </c>
      <c r="O67" s="27">
        <f t="shared" si="0"/>
        <v>115837.38</v>
      </c>
    </row>
    <row r="68" spans="1:15" ht="12.2" customHeight="1" x14ac:dyDescent="0.25">
      <c r="A68" s="28"/>
      <c r="B68" s="32"/>
      <c r="C68" s="33"/>
      <c r="D68" s="33"/>
      <c r="E68" s="33"/>
      <c r="F68" s="33"/>
      <c r="G68" s="33"/>
      <c r="H68" s="33"/>
      <c r="I68" s="33"/>
      <c r="J68" s="55" t="s">
        <v>74</v>
      </c>
      <c r="K68" s="49" t="s">
        <v>75</v>
      </c>
      <c r="L68" s="56">
        <v>6</v>
      </c>
      <c r="M68" s="50">
        <v>104358</v>
      </c>
      <c r="N68" s="57">
        <v>19700</v>
      </c>
      <c r="O68" s="27">
        <f t="shared" si="0"/>
        <v>115837.38</v>
      </c>
    </row>
    <row r="69" spans="1:15" ht="12.2" customHeight="1" x14ac:dyDescent="0.25">
      <c r="A69" s="28"/>
      <c r="B69" s="32"/>
      <c r="C69" s="33"/>
      <c r="D69" s="33"/>
      <c r="E69" s="33"/>
      <c r="F69" s="33"/>
      <c r="G69" s="33"/>
      <c r="H69" s="33"/>
      <c r="I69" s="33"/>
      <c r="J69" s="49" t="s">
        <v>76</v>
      </c>
      <c r="K69" s="58" t="s">
        <v>77</v>
      </c>
      <c r="L69" s="50">
        <v>6</v>
      </c>
      <c r="M69" s="56">
        <v>104358</v>
      </c>
      <c r="N69" s="50">
        <v>19700</v>
      </c>
      <c r="O69" s="27">
        <f t="shared" si="0"/>
        <v>115837.38</v>
      </c>
    </row>
    <row r="70" spans="1:15" ht="12.2" customHeight="1" x14ac:dyDescent="0.25">
      <c r="A70" s="28"/>
      <c r="B70" s="32"/>
      <c r="C70" s="33"/>
      <c r="D70" s="33"/>
      <c r="E70" s="33"/>
      <c r="F70" s="33"/>
      <c r="G70" s="33"/>
      <c r="H70" s="33"/>
      <c r="I70" s="33"/>
      <c r="J70" s="55" t="s">
        <v>78</v>
      </c>
      <c r="K70" s="49" t="s">
        <v>79</v>
      </c>
      <c r="L70" s="56">
        <v>6</v>
      </c>
      <c r="M70" s="50">
        <v>104358</v>
      </c>
      <c r="N70" s="57">
        <v>19700</v>
      </c>
      <c r="O70" s="27">
        <f t="shared" si="0"/>
        <v>115837.38</v>
      </c>
    </row>
    <row r="71" spans="1:15" ht="12.2" customHeight="1" x14ac:dyDescent="0.25">
      <c r="A71" s="28"/>
      <c r="B71" s="32"/>
      <c r="C71" s="33"/>
      <c r="D71" s="33"/>
      <c r="E71" s="33"/>
      <c r="F71" s="33"/>
      <c r="G71" s="33"/>
      <c r="H71" s="33"/>
      <c r="I71" s="33"/>
      <c r="J71" s="49" t="s">
        <v>80</v>
      </c>
      <c r="K71" s="58" t="s">
        <v>81</v>
      </c>
      <c r="L71" s="50">
        <v>24</v>
      </c>
      <c r="M71" s="56">
        <v>335866</v>
      </c>
      <c r="N71" s="50">
        <v>15851</v>
      </c>
      <c r="O71" s="27">
        <f t="shared" ref="O71:O134" si="1">M71*1.11</f>
        <v>372811.26</v>
      </c>
    </row>
    <row r="72" spans="1:15" ht="12.2" customHeight="1" x14ac:dyDescent="0.25">
      <c r="A72" s="28"/>
      <c r="B72" s="32"/>
      <c r="C72" s="33"/>
      <c r="D72" s="33"/>
      <c r="E72" s="33"/>
      <c r="F72" s="33"/>
      <c r="G72" s="33"/>
      <c r="H72" s="33"/>
      <c r="I72" s="33"/>
      <c r="J72" s="55" t="s">
        <v>35</v>
      </c>
      <c r="K72" s="49" t="s">
        <v>36</v>
      </c>
      <c r="L72" s="56">
        <v>36</v>
      </c>
      <c r="M72" s="50">
        <v>503798</v>
      </c>
      <c r="N72" s="26">
        <v>15851</v>
      </c>
      <c r="O72" s="27">
        <f t="shared" si="1"/>
        <v>559215.78</v>
      </c>
    </row>
    <row r="73" spans="1:15" ht="12.2" customHeight="1" x14ac:dyDescent="0.25">
      <c r="A73" s="28"/>
      <c r="B73" s="32"/>
      <c r="C73" s="33"/>
      <c r="D73" s="33"/>
      <c r="E73" s="33"/>
      <c r="F73" s="33"/>
      <c r="G73" s="33"/>
      <c r="H73" s="33"/>
      <c r="I73" s="33"/>
      <c r="J73" s="49" t="s">
        <v>82</v>
      </c>
      <c r="K73" s="22" t="s">
        <v>83</v>
      </c>
      <c r="L73" s="50">
        <v>24</v>
      </c>
      <c r="M73" s="24">
        <v>503798</v>
      </c>
      <c r="N73" s="44">
        <v>23776</v>
      </c>
      <c r="O73" s="27">
        <f t="shared" si="1"/>
        <v>559215.78</v>
      </c>
    </row>
    <row r="74" spans="1:15" ht="12.2" customHeight="1" x14ac:dyDescent="0.25">
      <c r="A74" s="28"/>
      <c r="B74" s="32"/>
      <c r="C74" s="33"/>
      <c r="D74" s="33"/>
      <c r="E74" s="33"/>
      <c r="F74" s="33"/>
      <c r="G74" s="33"/>
      <c r="H74" s="33"/>
      <c r="I74" s="33"/>
      <c r="J74" s="42" t="s">
        <v>37</v>
      </c>
      <c r="K74" s="43" t="s">
        <v>38</v>
      </c>
      <c r="L74" s="24">
        <v>36</v>
      </c>
      <c r="M74" s="44">
        <v>755698</v>
      </c>
      <c r="N74" s="26">
        <v>23776</v>
      </c>
      <c r="O74" s="27">
        <f t="shared" si="1"/>
        <v>838824.78</v>
      </c>
    </row>
    <row r="75" spans="1:15" ht="12.2" customHeight="1" x14ac:dyDescent="0.25">
      <c r="A75" s="28"/>
      <c r="B75" s="32"/>
      <c r="C75" s="33"/>
      <c r="D75" s="33"/>
      <c r="E75" s="33"/>
      <c r="F75" s="33"/>
      <c r="G75" s="33"/>
      <c r="H75" s="33"/>
      <c r="I75" s="33"/>
      <c r="J75" s="43" t="s">
        <v>104</v>
      </c>
      <c r="K75" s="22" t="s">
        <v>105</v>
      </c>
      <c r="L75" s="44">
        <v>12</v>
      </c>
      <c r="M75" s="24">
        <v>484606</v>
      </c>
      <c r="N75" s="44">
        <v>45741</v>
      </c>
      <c r="O75" s="27">
        <f t="shared" si="1"/>
        <v>537912.66</v>
      </c>
    </row>
    <row r="76" spans="1:15" ht="12.2" customHeight="1" x14ac:dyDescent="0.25">
      <c r="A76" s="28"/>
      <c r="B76" s="32"/>
      <c r="C76" s="33"/>
      <c r="D76" s="33"/>
      <c r="E76" s="33"/>
      <c r="F76" s="33"/>
      <c r="G76" s="33"/>
      <c r="H76" s="33"/>
      <c r="I76" s="33"/>
      <c r="J76" s="42" t="s">
        <v>27</v>
      </c>
      <c r="K76" s="43" t="s">
        <v>28</v>
      </c>
      <c r="L76" s="24">
        <v>18</v>
      </c>
      <c r="M76" s="44">
        <v>726909</v>
      </c>
      <c r="N76" s="26">
        <v>45741</v>
      </c>
      <c r="O76" s="27">
        <f t="shared" si="1"/>
        <v>806868.99000000011</v>
      </c>
    </row>
    <row r="77" spans="1:15" ht="12.2" customHeight="1" x14ac:dyDescent="0.25">
      <c r="A77" s="28"/>
      <c r="B77" s="32"/>
      <c r="C77" s="33"/>
      <c r="D77" s="33"/>
      <c r="E77" s="33"/>
      <c r="F77" s="33"/>
      <c r="G77" s="33"/>
      <c r="H77" s="33"/>
      <c r="I77" s="33"/>
      <c r="J77" s="43" t="s">
        <v>90</v>
      </c>
      <c r="K77" s="22" t="s">
        <v>91</v>
      </c>
      <c r="L77" s="44">
        <v>36</v>
      </c>
      <c r="M77" s="24">
        <v>140344</v>
      </c>
      <c r="N77" s="44">
        <v>4416</v>
      </c>
      <c r="O77" s="27">
        <f t="shared" si="1"/>
        <v>155781.84000000003</v>
      </c>
    </row>
    <row r="78" spans="1:15" ht="12.2" customHeight="1" x14ac:dyDescent="0.25">
      <c r="A78" s="28"/>
      <c r="B78" s="32"/>
      <c r="C78" s="33"/>
      <c r="D78" s="33"/>
      <c r="E78" s="33"/>
      <c r="F78" s="33"/>
      <c r="G78" s="33"/>
      <c r="H78" s="33"/>
      <c r="I78" s="33"/>
      <c r="J78" s="42" t="s">
        <v>144</v>
      </c>
      <c r="K78" s="43" t="s">
        <v>145</v>
      </c>
      <c r="L78" s="24">
        <v>24</v>
      </c>
      <c r="M78" s="44">
        <v>362255</v>
      </c>
      <c r="N78" s="26">
        <v>17096</v>
      </c>
      <c r="O78" s="27">
        <f t="shared" si="1"/>
        <v>402103.05000000005</v>
      </c>
    </row>
    <row r="79" spans="1:15" ht="12.2" customHeight="1" x14ac:dyDescent="0.25">
      <c r="A79" s="28"/>
      <c r="B79" s="32"/>
      <c r="C79" s="33"/>
      <c r="D79" s="34"/>
      <c r="E79" s="34"/>
      <c r="F79" s="34"/>
      <c r="G79" s="34"/>
      <c r="H79" s="34"/>
      <c r="I79" s="34"/>
      <c r="J79" s="43" t="s">
        <v>56</v>
      </c>
      <c r="K79" s="22" t="s">
        <v>57</v>
      </c>
      <c r="L79" s="44">
        <v>36</v>
      </c>
      <c r="M79" s="24">
        <v>543383</v>
      </c>
      <c r="N79" s="44">
        <v>17096</v>
      </c>
      <c r="O79" s="27">
        <f t="shared" si="1"/>
        <v>603155.13</v>
      </c>
    </row>
    <row r="80" spans="1:15" ht="12.2" customHeight="1" x14ac:dyDescent="0.25">
      <c r="A80" s="28"/>
      <c r="B80" s="32"/>
      <c r="C80" s="33"/>
      <c r="D80" s="42" t="s">
        <v>146</v>
      </c>
      <c r="E80" s="43" t="s">
        <v>147</v>
      </c>
      <c r="F80" s="22" t="s">
        <v>148</v>
      </c>
      <c r="G80" s="43" t="s">
        <v>149</v>
      </c>
      <c r="H80" s="22" t="s">
        <v>150</v>
      </c>
      <c r="I80" s="43" t="s">
        <v>151</v>
      </c>
      <c r="J80" s="22" t="s">
        <v>152</v>
      </c>
      <c r="K80" s="43" t="s">
        <v>153</v>
      </c>
      <c r="L80" s="24">
        <v>24</v>
      </c>
      <c r="M80" s="44">
        <v>288864</v>
      </c>
      <c r="N80" s="26">
        <v>13360</v>
      </c>
      <c r="O80" s="27">
        <f t="shared" si="1"/>
        <v>320639.04000000004</v>
      </c>
    </row>
    <row r="81" spans="1:15" ht="12.2" customHeight="1" x14ac:dyDescent="0.25">
      <c r="A81" s="28"/>
      <c r="B81" s="32"/>
      <c r="C81" s="33"/>
      <c r="D81" s="31" t="s">
        <v>154</v>
      </c>
      <c r="E81" s="31" t="s">
        <v>155</v>
      </c>
      <c r="F81" s="31" t="s">
        <v>156</v>
      </c>
      <c r="G81" s="31" t="s">
        <v>117</v>
      </c>
      <c r="H81" s="31" t="s">
        <v>117</v>
      </c>
      <c r="I81" s="31" t="s">
        <v>26</v>
      </c>
      <c r="J81" s="43" t="s">
        <v>35</v>
      </c>
      <c r="K81" s="22" t="s">
        <v>36</v>
      </c>
      <c r="L81" s="44">
        <v>24</v>
      </c>
      <c r="M81" s="24">
        <v>342720</v>
      </c>
      <c r="N81" s="44">
        <v>15851</v>
      </c>
      <c r="O81" s="27">
        <f t="shared" si="1"/>
        <v>380419.2</v>
      </c>
    </row>
    <row r="82" spans="1:15" ht="12.2" customHeight="1" x14ac:dyDescent="0.25">
      <c r="A82" s="28"/>
      <c r="B82" s="32"/>
      <c r="C82" s="33"/>
      <c r="D82" s="33"/>
      <c r="E82" s="33"/>
      <c r="F82" s="33"/>
      <c r="G82" s="33"/>
      <c r="H82" s="33"/>
      <c r="I82" s="33"/>
      <c r="J82" s="22" t="s">
        <v>37</v>
      </c>
      <c r="K82" s="43" t="s">
        <v>38</v>
      </c>
      <c r="L82" s="24">
        <v>12</v>
      </c>
      <c r="M82" s="44">
        <v>257040</v>
      </c>
      <c r="N82" s="26">
        <v>23776</v>
      </c>
      <c r="O82" s="27">
        <f t="shared" si="1"/>
        <v>285314.40000000002</v>
      </c>
    </row>
    <row r="83" spans="1:15" ht="12.2" customHeight="1" x14ac:dyDescent="0.25">
      <c r="A83" s="28"/>
      <c r="B83" s="32"/>
      <c r="C83" s="33"/>
      <c r="D83" s="33"/>
      <c r="E83" s="33"/>
      <c r="F83" s="33"/>
      <c r="G83" s="33"/>
      <c r="H83" s="33"/>
      <c r="I83" s="33"/>
      <c r="J83" s="43" t="s">
        <v>90</v>
      </c>
      <c r="K83" s="22" t="s">
        <v>91</v>
      </c>
      <c r="L83" s="44">
        <v>12</v>
      </c>
      <c r="M83" s="24">
        <v>47736</v>
      </c>
      <c r="N83" s="44">
        <v>4416</v>
      </c>
      <c r="O83" s="27">
        <f t="shared" si="1"/>
        <v>52986.960000000006</v>
      </c>
    </row>
    <row r="84" spans="1:15" ht="12.2" customHeight="1" x14ac:dyDescent="0.25">
      <c r="A84" s="28"/>
      <c r="B84" s="32"/>
      <c r="C84" s="34"/>
      <c r="D84" s="34"/>
      <c r="E84" s="34"/>
      <c r="F84" s="34"/>
      <c r="G84" s="34"/>
      <c r="H84" s="34"/>
      <c r="I84" s="34"/>
      <c r="J84" s="22" t="s">
        <v>56</v>
      </c>
      <c r="K84" s="43" t="s">
        <v>57</v>
      </c>
      <c r="L84" s="24">
        <v>48</v>
      </c>
      <c r="M84" s="44">
        <v>739296</v>
      </c>
      <c r="N84" s="26">
        <v>17096</v>
      </c>
      <c r="O84" s="27">
        <f t="shared" si="1"/>
        <v>820618.56</v>
      </c>
    </row>
    <row r="85" spans="1:15" ht="12.2" customHeight="1" x14ac:dyDescent="0.25">
      <c r="A85" s="28"/>
      <c r="B85" s="32"/>
      <c r="C85" s="30" t="s">
        <v>157</v>
      </c>
      <c r="D85" s="31" t="s">
        <v>158</v>
      </c>
      <c r="E85" s="31" t="s">
        <v>159</v>
      </c>
      <c r="F85" s="31" t="s">
        <v>160</v>
      </c>
      <c r="G85" s="31" t="s">
        <v>161</v>
      </c>
      <c r="H85" s="31" t="s">
        <v>162</v>
      </c>
      <c r="I85" s="35" t="s">
        <v>97</v>
      </c>
      <c r="J85" s="52" t="s">
        <v>80</v>
      </c>
      <c r="K85" s="23" t="s">
        <v>81</v>
      </c>
      <c r="L85" s="53">
        <v>12</v>
      </c>
      <c r="M85" s="25">
        <v>171360</v>
      </c>
      <c r="N85" s="54">
        <v>15851</v>
      </c>
      <c r="O85" s="27">
        <f t="shared" si="1"/>
        <v>190209.6</v>
      </c>
    </row>
    <row r="86" spans="1:15" ht="12.2" customHeight="1" x14ac:dyDescent="0.25">
      <c r="A86" s="28"/>
      <c r="B86" s="32"/>
      <c r="C86" s="33"/>
      <c r="D86" s="33"/>
      <c r="E86" s="33"/>
      <c r="F86" s="33"/>
      <c r="G86" s="33"/>
      <c r="H86" s="33"/>
      <c r="I86" s="59"/>
      <c r="J86" s="37" t="s">
        <v>35</v>
      </c>
      <c r="K86" s="22" t="s">
        <v>36</v>
      </c>
      <c r="L86" s="25">
        <v>12</v>
      </c>
      <c r="M86" s="24">
        <v>171360</v>
      </c>
      <c r="N86" s="25">
        <v>15851</v>
      </c>
      <c r="O86" s="27">
        <f t="shared" si="1"/>
        <v>190209.6</v>
      </c>
    </row>
    <row r="87" spans="1:15" ht="12.2" customHeight="1" x14ac:dyDescent="0.25">
      <c r="A87" s="28"/>
      <c r="B87" s="32"/>
      <c r="C87" s="33"/>
      <c r="D87" s="33"/>
      <c r="E87" s="33"/>
      <c r="F87" s="33"/>
      <c r="G87" s="33"/>
      <c r="H87" s="33"/>
      <c r="I87" s="59"/>
      <c r="J87" s="22" t="s">
        <v>82</v>
      </c>
      <c r="K87" s="23" t="s">
        <v>83</v>
      </c>
      <c r="L87" s="24">
        <v>12</v>
      </c>
      <c r="M87" s="25">
        <v>257040</v>
      </c>
      <c r="N87" s="26">
        <v>23776</v>
      </c>
      <c r="O87" s="27">
        <f t="shared" si="1"/>
        <v>285314.40000000002</v>
      </c>
    </row>
    <row r="88" spans="1:15" ht="12.2" customHeight="1" x14ac:dyDescent="0.25">
      <c r="A88" s="28"/>
      <c r="B88" s="32"/>
      <c r="C88" s="33"/>
      <c r="D88" s="33"/>
      <c r="E88" s="33"/>
      <c r="F88" s="33"/>
      <c r="G88" s="33"/>
      <c r="H88" s="33"/>
      <c r="I88" s="59"/>
      <c r="J88" s="37" t="s">
        <v>37</v>
      </c>
      <c r="K88" s="22" t="s">
        <v>38</v>
      </c>
      <c r="L88" s="25">
        <v>12</v>
      </c>
      <c r="M88" s="24">
        <v>257040</v>
      </c>
      <c r="N88" s="25">
        <v>23776</v>
      </c>
      <c r="O88" s="27">
        <f t="shared" si="1"/>
        <v>285314.40000000002</v>
      </c>
    </row>
    <row r="89" spans="1:15" ht="12.2" customHeight="1" x14ac:dyDescent="0.25">
      <c r="A89" s="28"/>
      <c r="B89" s="32"/>
      <c r="C89" s="33"/>
      <c r="D89" s="33"/>
      <c r="E89" s="33"/>
      <c r="F89" s="33"/>
      <c r="G89" s="33"/>
      <c r="H89" s="33"/>
      <c r="I89" s="59"/>
      <c r="J89" s="22" t="s">
        <v>104</v>
      </c>
      <c r="K89" s="23" t="s">
        <v>105</v>
      </c>
      <c r="L89" s="24">
        <v>6</v>
      </c>
      <c r="M89" s="25">
        <v>247248</v>
      </c>
      <c r="N89" s="26">
        <v>45741</v>
      </c>
      <c r="O89" s="27">
        <f t="shared" si="1"/>
        <v>274445.28000000003</v>
      </c>
    </row>
    <row r="90" spans="1:15" ht="12.2" customHeight="1" x14ac:dyDescent="0.25">
      <c r="A90" s="28"/>
      <c r="B90" s="32"/>
      <c r="C90" s="33"/>
      <c r="D90" s="33"/>
      <c r="E90" s="33"/>
      <c r="F90" s="33"/>
      <c r="G90" s="33"/>
      <c r="H90" s="33"/>
      <c r="I90" s="59"/>
      <c r="J90" s="37" t="s">
        <v>27</v>
      </c>
      <c r="K90" s="22" t="s">
        <v>28</v>
      </c>
      <c r="L90" s="25">
        <v>6</v>
      </c>
      <c r="M90" s="24">
        <v>247248</v>
      </c>
      <c r="N90" s="25">
        <v>45741</v>
      </c>
      <c r="O90" s="27">
        <f t="shared" si="1"/>
        <v>274445.28000000003</v>
      </c>
    </row>
    <row r="91" spans="1:15" ht="12.2" customHeight="1" x14ac:dyDescent="0.25">
      <c r="A91" s="28"/>
      <c r="B91" s="32"/>
      <c r="C91" s="33"/>
      <c r="D91" s="33"/>
      <c r="E91" s="33"/>
      <c r="F91" s="33"/>
      <c r="G91" s="33"/>
      <c r="H91" s="33"/>
      <c r="I91" s="59"/>
      <c r="J91" s="22" t="s">
        <v>144</v>
      </c>
      <c r="K91" s="23" t="s">
        <v>145</v>
      </c>
      <c r="L91" s="24">
        <v>12</v>
      </c>
      <c r="M91" s="25">
        <v>184824</v>
      </c>
      <c r="N91" s="26">
        <v>17096</v>
      </c>
      <c r="O91" s="27">
        <f t="shared" si="1"/>
        <v>205154.64</v>
      </c>
    </row>
    <row r="92" spans="1:15" ht="12.2" customHeight="1" x14ac:dyDescent="0.25">
      <c r="A92" s="28"/>
      <c r="B92" s="32"/>
      <c r="C92" s="34"/>
      <c r="D92" s="34"/>
      <c r="E92" s="34"/>
      <c r="F92" s="34"/>
      <c r="G92" s="34"/>
      <c r="H92" s="34"/>
      <c r="I92" s="36"/>
      <c r="J92" s="60" t="s">
        <v>56</v>
      </c>
      <c r="K92" s="22" t="s">
        <v>57</v>
      </c>
      <c r="L92" s="39">
        <v>12</v>
      </c>
      <c r="M92" s="24">
        <v>184824</v>
      </c>
      <c r="N92" s="39">
        <v>17096</v>
      </c>
      <c r="O92" s="27">
        <f t="shared" si="1"/>
        <v>205154.64</v>
      </c>
    </row>
    <row r="93" spans="1:15" ht="12.2" customHeight="1" x14ac:dyDescent="0.25">
      <c r="A93" s="28"/>
      <c r="B93" s="32"/>
      <c r="C93" s="30" t="s">
        <v>163</v>
      </c>
      <c r="D93" s="43" t="s">
        <v>164</v>
      </c>
      <c r="E93" s="22" t="s">
        <v>165</v>
      </c>
      <c r="F93" s="23" t="s">
        <v>166</v>
      </c>
      <c r="G93" s="22" t="s">
        <v>167</v>
      </c>
      <c r="H93" s="23" t="s">
        <v>34</v>
      </c>
      <c r="I93" s="22" t="s">
        <v>151</v>
      </c>
      <c r="J93" s="23" t="s">
        <v>35</v>
      </c>
      <c r="K93" s="22" t="s">
        <v>36</v>
      </c>
      <c r="L93" s="25">
        <v>12</v>
      </c>
      <c r="M93" s="24">
        <v>171361</v>
      </c>
      <c r="N93" s="25">
        <v>15851</v>
      </c>
      <c r="O93" s="27">
        <f t="shared" si="1"/>
        <v>190210.71000000002</v>
      </c>
    </row>
    <row r="94" spans="1:15" ht="12.2" customHeight="1" x14ac:dyDescent="0.25">
      <c r="A94" s="28"/>
      <c r="B94" s="32"/>
      <c r="C94" s="33"/>
      <c r="D94" s="31" t="s">
        <v>168</v>
      </c>
      <c r="E94" s="31" t="s">
        <v>169</v>
      </c>
      <c r="F94" s="31" t="s">
        <v>170</v>
      </c>
      <c r="G94" s="31" t="s">
        <v>171</v>
      </c>
      <c r="H94" s="31" t="s">
        <v>172</v>
      </c>
      <c r="I94" s="35" t="s">
        <v>112</v>
      </c>
      <c r="J94" s="22" t="s">
        <v>37</v>
      </c>
      <c r="K94" s="23" t="s">
        <v>38</v>
      </c>
      <c r="L94" s="24">
        <v>12</v>
      </c>
      <c r="M94" s="25">
        <v>257040</v>
      </c>
      <c r="N94" s="26">
        <v>23776</v>
      </c>
      <c r="O94" s="27">
        <f t="shared" si="1"/>
        <v>285314.40000000002</v>
      </c>
    </row>
    <row r="95" spans="1:15" ht="12.2" customHeight="1" x14ac:dyDescent="0.25">
      <c r="A95" s="28"/>
      <c r="B95" s="32"/>
      <c r="C95" s="33"/>
      <c r="D95" s="34"/>
      <c r="E95" s="34"/>
      <c r="F95" s="34"/>
      <c r="G95" s="34"/>
      <c r="H95" s="34"/>
      <c r="I95" s="36"/>
      <c r="J95" s="37" t="s">
        <v>56</v>
      </c>
      <c r="K95" s="22" t="s">
        <v>57</v>
      </c>
      <c r="L95" s="25">
        <v>12</v>
      </c>
      <c r="M95" s="24">
        <v>184824</v>
      </c>
      <c r="N95" s="25">
        <v>17096</v>
      </c>
      <c r="O95" s="27">
        <f t="shared" si="1"/>
        <v>205154.64</v>
      </c>
    </row>
    <row r="96" spans="1:15" ht="12.2" customHeight="1" x14ac:dyDescent="0.25">
      <c r="A96" s="28"/>
      <c r="B96" s="32"/>
      <c r="C96" s="33"/>
      <c r="D96" s="31" t="s">
        <v>173</v>
      </c>
      <c r="E96" s="31" t="s">
        <v>174</v>
      </c>
      <c r="F96" s="31" t="s">
        <v>175</v>
      </c>
      <c r="G96" s="31" t="s">
        <v>172</v>
      </c>
      <c r="H96" s="31" t="s">
        <v>34</v>
      </c>
      <c r="I96" s="35" t="s">
        <v>26</v>
      </c>
      <c r="J96" s="22" t="s">
        <v>80</v>
      </c>
      <c r="K96" s="23" t="s">
        <v>81</v>
      </c>
      <c r="L96" s="24">
        <v>24</v>
      </c>
      <c r="M96" s="25">
        <v>342720</v>
      </c>
      <c r="N96" s="26">
        <v>15851</v>
      </c>
      <c r="O96" s="27">
        <f t="shared" si="1"/>
        <v>380419.2</v>
      </c>
    </row>
    <row r="97" spans="1:15" ht="12.2" customHeight="1" x14ac:dyDescent="0.25">
      <c r="A97" s="28"/>
      <c r="B97" s="32"/>
      <c r="C97" s="33"/>
      <c r="D97" s="33"/>
      <c r="E97" s="33"/>
      <c r="F97" s="33"/>
      <c r="G97" s="33"/>
      <c r="H97" s="33"/>
      <c r="I97" s="59"/>
      <c r="J97" s="61" t="s">
        <v>35</v>
      </c>
      <c r="K97" s="22" t="s">
        <v>36</v>
      </c>
      <c r="L97" s="44">
        <v>24</v>
      </c>
      <c r="M97" s="24">
        <v>342720</v>
      </c>
      <c r="N97" s="44">
        <v>15851</v>
      </c>
      <c r="O97" s="27">
        <f t="shared" si="1"/>
        <v>380419.2</v>
      </c>
    </row>
    <row r="98" spans="1:15" ht="12.2" customHeight="1" x14ac:dyDescent="0.25">
      <c r="A98" s="28"/>
      <c r="B98" s="32"/>
      <c r="C98" s="33"/>
      <c r="D98" s="33"/>
      <c r="E98" s="33"/>
      <c r="F98" s="33"/>
      <c r="G98" s="33"/>
      <c r="H98" s="33"/>
      <c r="I98" s="59"/>
      <c r="J98" s="22" t="s">
        <v>144</v>
      </c>
      <c r="K98" s="43" t="s">
        <v>145</v>
      </c>
      <c r="L98" s="24">
        <v>12</v>
      </c>
      <c r="M98" s="44">
        <v>184824</v>
      </c>
      <c r="N98" s="26">
        <v>17096</v>
      </c>
      <c r="O98" s="27">
        <f t="shared" si="1"/>
        <v>205154.64</v>
      </c>
    </row>
    <row r="99" spans="1:15" ht="12.2" customHeight="1" x14ac:dyDescent="0.25">
      <c r="A99" s="28"/>
      <c r="B99" s="32"/>
      <c r="C99" s="33"/>
      <c r="D99" s="34"/>
      <c r="E99" s="34"/>
      <c r="F99" s="34"/>
      <c r="G99" s="34"/>
      <c r="H99" s="34"/>
      <c r="I99" s="36"/>
      <c r="J99" s="61" t="s">
        <v>56</v>
      </c>
      <c r="K99" s="22" t="s">
        <v>57</v>
      </c>
      <c r="L99" s="44">
        <v>12</v>
      </c>
      <c r="M99" s="24">
        <v>184824</v>
      </c>
      <c r="N99" s="44">
        <v>17096</v>
      </c>
      <c r="O99" s="27">
        <f t="shared" si="1"/>
        <v>205154.64</v>
      </c>
    </row>
    <row r="100" spans="1:15" ht="12.2" customHeight="1" x14ac:dyDescent="0.25">
      <c r="A100" s="28"/>
      <c r="B100" s="32"/>
      <c r="C100" s="33"/>
      <c r="D100" s="31" t="s">
        <v>176</v>
      </c>
      <c r="E100" s="31" t="s">
        <v>177</v>
      </c>
      <c r="F100" s="31" t="s">
        <v>178</v>
      </c>
      <c r="G100" s="31" t="s">
        <v>172</v>
      </c>
      <c r="H100" s="31" t="s">
        <v>34</v>
      </c>
      <c r="I100" s="35" t="s">
        <v>26</v>
      </c>
      <c r="J100" s="22" t="s">
        <v>132</v>
      </c>
      <c r="K100" s="43" t="s">
        <v>133</v>
      </c>
      <c r="L100" s="24">
        <v>12</v>
      </c>
      <c r="M100" s="44">
        <v>260712</v>
      </c>
      <c r="N100" s="26">
        <v>24116</v>
      </c>
      <c r="O100" s="27">
        <f t="shared" si="1"/>
        <v>289390.32</v>
      </c>
    </row>
    <row r="101" spans="1:15" ht="12.2" customHeight="1" x14ac:dyDescent="0.25">
      <c r="A101" s="28"/>
      <c r="B101" s="32"/>
      <c r="C101" s="33"/>
      <c r="D101" s="33"/>
      <c r="E101" s="33"/>
      <c r="F101" s="33"/>
      <c r="G101" s="33"/>
      <c r="H101" s="33"/>
      <c r="I101" s="59"/>
      <c r="J101" s="61" t="s">
        <v>134</v>
      </c>
      <c r="K101" s="22" t="s">
        <v>135</v>
      </c>
      <c r="L101" s="44">
        <v>12</v>
      </c>
      <c r="M101" s="24">
        <v>260712</v>
      </c>
      <c r="N101" s="44">
        <v>24116</v>
      </c>
      <c r="O101" s="27">
        <f t="shared" si="1"/>
        <v>289390.32</v>
      </c>
    </row>
    <row r="102" spans="1:15" ht="12.2" customHeight="1" x14ac:dyDescent="0.25">
      <c r="A102" s="28"/>
      <c r="B102" s="32"/>
      <c r="C102" s="33"/>
      <c r="D102" s="33"/>
      <c r="E102" s="33"/>
      <c r="F102" s="33"/>
      <c r="G102" s="33"/>
      <c r="H102" s="33"/>
      <c r="I102" s="59"/>
      <c r="J102" s="22" t="s">
        <v>98</v>
      </c>
      <c r="K102" s="43" t="s">
        <v>99</v>
      </c>
      <c r="L102" s="24">
        <v>12</v>
      </c>
      <c r="M102" s="44">
        <v>30600</v>
      </c>
      <c r="N102" s="26">
        <v>2831</v>
      </c>
      <c r="O102" s="27">
        <f t="shared" si="1"/>
        <v>33966</v>
      </c>
    </row>
    <row r="103" spans="1:15" ht="12.2" customHeight="1" x14ac:dyDescent="0.25">
      <c r="A103" s="28"/>
      <c r="B103" s="32"/>
      <c r="C103" s="33"/>
      <c r="D103" s="33"/>
      <c r="E103" s="33"/>
      <c r="F103" s="33"/>
      <c r="G103" s="33"/>
      <c r="H103" s="33"/>
      <c r="I103" s="59"/>
      <c r="J103" s="61" t="s">
        <v>100</v>
      </c>
      <c r="K103" s="22" t="s">
        <v>101</v>
      </c>
      <c r="L103" s="44">
        <v>12</v>
      </c>
      <c r="M103" s="24">
        <v>30600</v>
      </c>
      <c r="N103" s="44">
        <v>2831</v>
      </c>
      <c r="O103" s="27">
        <f t="shared" si="1"/>
        <v>33966</v>
      </c>
    </row>
    <row r="104" spans="1:15" ht="12.2" customHeight="1" x14ac:dyDescent="0.25">
      <c r="A104" s="28"/>
      <c r="B104" s="32"/>
      <c r="C104" s="33"/>
      <c r="D104" s="33"/>
      <c r="E104" s="33"/>
      <c r="F104" s="33"/>
      <c r="G104" s="33"/>
      <c r="H104" s="33"/>
      <c r="I104" s="59"/>
      <c r="J104" s="22" t="s">
        <v>136</v>
      </c>
      <c r="K104" s="43" t="s">
        <v>137</v>
      </c>
      <c r="L104" s="24">
        <v>12</v>
      </c>
      <c r="M104" s="44">
        <v>30600</v>
      </c>
      <c r="N104" s="26">
        <v>2831</v>
      </c>
      <c r="O104" s="27">
        <f t="shared" si="1"/>
        <v>33966</v>
      </c>
    </row>
    <row r="105" spans="1:15" ht="12.2" customHeight="1" x14ac:dyDescent="0.25">
      <c r="A105" s="28"/>
      <c r="B105" s="32"/>
      <c r="C105" s="33"/>
      <c r="D105" s="33"/>
      <c r="E105" s="33"/>
      <c r="F105" s="33"/>
      <c r="G105" s="33"/>
      <c r="H105" s="33"/>
      <c r="I105" s="59"/>
      <c r="J105" s="61" t="s">
        <v>102</v>
      </c>
      <c r="K105" s="22" t="s">
        <v>103</v>
      </c>
      <c r="L105" s="44">
        <v>12</v>
      </c>
      <c r="M105" s="24">
        <v>30600</v>
      </c>
      <c r="N105" s="44">
        <v>2831</v>
      </c>
      <c r="O105" s="27">
        <f t="shared" si="1"/>
        <v>33966</v>
      </c>
    </row>
    <row r="106" spans="1:15" ht="12.2" customHeight="1" x14ac:dyDescent="0.25">
      <c r="A106" s="28"/>
      <c r="B106" s="32"/>
      <c r="C106" s="33"/>
      <c r="D106" s="33"/>
      <c r="E106" s="33"/>
      <c r="F106" s="33"/>
      <c r="G106" s="33"/>
      <c r="H106" s="33"/>
      <c r="I106" s="59"/>
      <c r="J106" s="22" t="s">
        <v>179</v>
      </c>
      <c r="K106" s="43" t="s">
        <v>180</v>
      </c>
      <c r="L106" s="24">
        <v>12</v>
      </c>
      <c r="M106" s="44">
        <v>75888</v>
      </c>
      <c r="N106" s="26">
        <v>7020</v>
      </c>
      <c r="O106" s="27">
        <f t="shared" si="1"/>
        <v>84235.680000000008</v>
      </c>
    </row>
    <row r="107" spans="1:15" ht="12.2" customHeight="1" x14ac:dyDescent="0.25">
      <c r="A107" s="28"/>
      <c r="B107" s="32"/>
      <c r="C107" s="33"/>
      <c r="D107" s="33"/>
      <c r="E107" s="33"/>
      <c r="F107" s="33"/>
      <c r="G107" s="33"/>
      <c r="H107" s="33"/>
      <c r="I107" s="59"/>
      <c r="J107" s="61" t="s">
        <v>181</v>
      </c>
      <c r="K107" s="22" t="s">
        <v>182</v>
      </c>
      <c r="L107" s="44">
        <v>12</v>
      </c>
      <c r="M107" s="24">
        <v>75888</v>
      </c>
      <c r="N107" s="44">
        <v>7020</v>
      </c>
      <c r="O107" s="27">
        <f t="shared" si="1"/>
        <v>84235.680000000008</v>
      </c>
    </row>
    <row r="108" spans="1:15" ht="12.2" customHeight="1" x14ac:dyDescent="0.25">
      <c r="A108" s="28"/>
      <c r="B108" s="32"/>
      <c r="C108" s="33"/>
      <c r="D108" s="33"/>
      <c r="E108" s="33"/>
      <c r="F108" s="33"/>
      <c r="G108" s="33"/>
      <c r="H108" s="33"/>
      <c r="I108" s="59"/>
      <c r="J108" s="22" t="s">
        <v>183</v>
      </c>
      <c r="K108" s="43" t="s">
        <v>184</v>
      </c>
      <c r="L108" s="24">
        <v>12</v>
      </c>
      <c r="M108" s="44">
        <v>75888</v>
      </c>
      <c r="N108" s="26">
        <v>7020</v>
      </c>
      <c r="O108" s="27">
        <f t="shared" si="1"/>
        <v>84235.680000000008</v>
      </c>
    </row>
    <row r="109" spans="1:15" ht="12.2" customHeight="1" x14ac:dyDescent="0.25">
      <c r="A109" s="28"/>
      <c r="B109" s="32"/>
      <c r="C109" s="33"/>
      <c r="D109" s="33"/>
      <c r="E109" s="33"/>
      <c r="F109" s="33"/>
      <c r="G109" s="33"/>
      <c r="H109" s="33"/>
      <c r="I109" s="59"/>
      <c r="J109" s="47" t="s">
        <v>152</v>
      </c>
      <c r="K109" s="22" t="s">
        <v>153</v>
      </c>
      <c r="L109" s="44">
        <v>12</v>
      </c>
      <c r="M109" s="24">
        <v>144432</v>
      </c>
      <c r="N109" s="44">
        <v>13360</v>
      </c>
      <c r="O109" s="27">
        <f t="shared" si="1"/>
        <v>160319.52000000002</v>
      </c>
    </row>
    <row r="110" spans="1:15" ht="12.2" customHeight="1" x14ac:dyDescent="0.25">
      <c r="A110" s="28"/>
      <c r="B110" s="32"/>
      <c r="C110" s="33"/>
      <c r="D110" s="33"/>
      <c r="E110" s="33"/>
      <c r="F110" s="33"/>
      <c r="G110" s="33"/>
      <c r="H110" s="33"/>
      <c r="I110" s="59"/>
      <c r="J110" s="22" t="s">
        <v>90</v>
      </c>
      <c r="K110" s="43" t="s">
        <v>91</v>
      </c>
      <c r="L110" s="24">
        <v>36</v>
      </c>
      <c r="M110" s="44">
        <v>143208</v>
      </c>
      <c r="N110" s="26">
        <v>4416</v>
      </c>
      <c r="O110" s="27">
        <f t="shared" si="1"/>
        <v>158960.88</v>
      </c>
    </row>
    <row r="111" spans="1:15" ht="12.2" customHeight="1" x14ac:dyDescent="0.25">
      <c r="A111" s="28"/>
      <c r="B111" s="32"/>
      <c r="C111" s="34"/>
      <c r="D111" s="34"/>
      <c r="E111" s="34"/>
      <c r="F111" s="34"/>
      <c r="G111" s="34"/>
      <c r="H111" s="34"/>
      <c r="I111" s="36"/>
      <c r="J111" s="48" t="s">
        <v>56</v>
      </c>
      <c r="K111" s="22" t="s">
        <v>57</v>
      </c>
      <c r="L111" s="46">
        <v>60</v>
      </c>
      <c r="M111" s="24">
        <v>924120</v>
      </c>
      <c r="N111" s="46">
        <v>17096</v>
      </c>
      <c r="O111" s="27">
        <f t="shared" si="1"/>
        <v>1025773.2000000001</v>
      </c>
    </row>
    <row r="112" spans="1:15" ht="12.2" customHeight="1" x14ac:dyDescent="0.25">
      <c r="A112" s="28"/>
      <c r="B112" s="32"/>
      <c r="C112" s="30" t="s">
        <v>185</v>
      </c>
      <c r="D112" s="43" t="s">
        <v>186</v>
      </c>
      <c r="E112" s="22" t="s">
        <v>187</v>
      </c>
      <c r="F112" s="43" t="s">
        <v>188</v>
      </c>
      <c r="G112" s="22" t="s">
        <v>189</v>
      </c>
      <c r="H112" s="43" t="s">
        <v>172</v>
      </c>
      <c r="I112" s="22" t="s">
        <v>112</v>
      </c>
      <c r="J112" s="49" t="s">
        <v>37</v>
      </c>
      <c r="K112" s="22" t="s">
        <v>38</v>
      </c>
      <c r="L112" s="50">
        <v>24</v>
      </c>
      <c r="M112" s="24">
        <v>514081</v>
      </c>
      <c r="N112" s="50">
        <v>23776</v>
      </c>
      <c r="O112" s="27">
        <f t="shared" si="1"/>
        <v>570629.91</v>
      </c>
    </row>
    <row r="113" spans="1:15" ht="12.2" customHeight="1" x14ac:dyDescent="0.25">
      <c r="A113" s="28"/>
      <c r="B113" s="32"/>
      <c r="C113" s="33"/>
      <c r="D113" s="31" t="s">
        <v>190</v>
      </c>
      <c r="E113" s="31" t="s">
        <v>191</v>
      </c>
      <c r="F113" s="31" t="s">
        <v>192</v>
      </c>
      <c r="G113" s="31" t="s">
        <v>193</v>
      </c>
      <c r="H113" s="31" t="s">
        <v>34</v>
      </c>
      <c r="I113" s="31" t="s">
        <v>26</v>
      </c>
      <c r="J113" s="22" t="s">
        <v>35</v>
      </c>
      <c r="K113" s="43" t="s">
        <v>36</v>
      </c>
      <c r="L113" s="24">
        <v>12</v>
      </c>
      <c r="M113" s="44">
        <v>171360</v>
      </c>
      <c r="N113" s="26">
        <v>15851</v>
      </c>
      <c r="O113" s="27">
        <f t="shared" si="1"/>
        <v>190209.6</v>
      </c>
    </row>
    <row r="114" spans="1:15" ht="12.2" customHeight="1" x14ac:dyDescent="0.25">
      <c r="A114" s="28"/>
      <c r="B114" s="32"/>
      <c r="C114" s="33"/>
      <c r="D114" s="33"/>
      <c r="E114" s="33"/>
      <c r="F114" s="33"/>
      <c r="G114" s="33"/>
      <c r="H114" s="33"/>
      <c r="I114" s="33"/>
      <c r="J114" s="47" t="s">
        <v>104</v>
      </c>
      <c r="K114" s="22" t="s">
        <v>105</v>
      </c>
      <c r="L114" s="44">
        <v>6</v>
      </c>
      <c r="M114" s="24">
        <v>247248</v>
      </c>
      <c r="N114" s="44">
        <v>45741</v>
      </c>
      <c r="O114" s="27">
        <f t="shared" si="1"/>
        <v>274445.28000000003</v>
      </c>
    </row>
    <row r="115" spans="1:15" ht="12.2" customHeight="1" x14ac:dyDescent="0.25">
      <c r="A115" s="28"/>
      <c r="B115" s="32"/>
      <c r="C115" s="33"/>
      <c r="D115" s="33"/>
      <c r="E115" s="33"/>
      <c r="F115" s="33"/>
      <c r="G115" s="33"/>
      <c r="H115" s="33"/>
      <c r="I115" s="33"/>
      <c r="J115" s="22" t="s">
        <v>27</v>
      </c>
      <c r="K115" s="43" t="s">
        <v>28</v>
      </c>
      <c r="L115" s="24">
        <v>18</v>
      </c>
      <c r="M115" s="44">
        <v>741744</v>
      </c>
      <c r="N115" s="26">
        <v>45741</v>
      </c>
      <c r="O115" s="27">
        <f t="shared" si="1"/>
        <v>823335.84000000008</v>
      </c>
    </row>
    <row r="116" spans="1:15" ht="12.2" customHeight="1" x14ac:dyDescent="0.25">
      <c r="A116" s="28"/>
      <c r="B116" s="32"/>
      <c r="C116" s="34"/>
      <c r="D116" s="34"/>
      <c r="E116" s="34"/>
      <c r="F116" s="34"/>
      <c r="G116" s="34"/>
      <c r="H116" s="34"/>
      <c r="I116" s="34"/>
      <c r="J116" s="48" t="s">
        <v>56</v>
      </c>
      <c r="K116" s="22" t="s">
        <v>57</v>
      </c>
      <c r="L116" s="46">
        <v>12</v>
      </c>
      <c r="M116" s="24">
        <v>184824</v>
      </c>
      <c r="N116" s="46">
        <v>17096</v>
      </c>
      <c r="O116" s="27">
        <f t="shared" si="1"/>
        <v>205154.64</v>
      </c>
    </row>
    <row r="117" spans="1:15" ht="12.2" customHeight="1" x14ac:dyDescent="0.25">
      <c r="A117" s="28"/>
      <c r="B117" s="32"/>
      <c r="C117" s="30" t="s">
        <v>194</v>
      </c>
      <c r="D117" s="43" t="s">
        <v>195</v>
      </c>
      <c r="E117" s="22" t="s">
        <v>196</v>
      </c>
      <c r="F117" s="43" t="s">
        <v>197</v>
      </c>
      <c r="G117" s="22" t="s">
        <v>198</v>
      </c>
      <c r="H117" s="43" t="s">
        <v>122</v>
      </c>
      <c r="I117" s="22" t="s">
        <v>97</v>
      </c>
      <c r="J117" s="49" t="s">
        <v>102</v>
      </c>
      <c r="K117" s="22" t="s">
        <v>103</v>
      </c>
      <c r="L117" s="62">
        <v>-2</v>
      </c>
      <c r="M117" s="63">
        <v>-4591</v>
      </c>
      <c r="N117" s="50">
        <v>2831</v>
      </c>
      <c r="O117" s="27">
        <f t="shared" si="1"/>
        <v>-5096.01</v>
      </c>
    </row>
    <row r="118" spans="1:15" ht="12.2" customHeight="1" x14ac:dyDescent="0.25">
      <c r="A118" s="28"/>
      <c r="B118" s="32"/>
      <c r="C118" s="33"/>
      <c r="D118" s="22" t="s">
        <v>199</v>
      </c>
      <c r="E118" s="43" t="s">
        <v>196</v>
      </c>
      <c r="F118" s="22" t="s">
        <v>197</v>
      </c>
      <c r="G118" s="43" t="s">
        <v>198</v>
      </c>
      <c r="H118" s="22" t="s">
        <v>122</v>
      </c>
      <c r="I118" s="43" t="s">
        <v>97</v>
      </c>
      <c r="J118" s="22" t="s">
        <v>200</v>
      </c>
      <c r="K118" s="43" t="s">
        <v>201</v>
      </c>
      <c r="L118" s="63">
        <v>-1</v>
      </c>
      <c r="M118" s="64">
        <v>-7446</v>
      </c>
      <c r="N118" s="26">
        <v>9058</v>
      </c>
      <c r="O118" s="27">
        <f t="shared" si="1"/>
        <v>-8265.0600000000013</v>
      </c>
    </row>
    <row r="119" spans="1:15" ht="12.2" customHeight="1" x14ac:dyDescent="0.25">
      <c r="A119" s="28"/>
      <c r="B119" s="32"/>
      <c r="C119" s="33"/>
      <c r="D119" s="43" t="s">
        <v>202</v>
      </c>
      <c r="E119" s="22" t="s">
        <v>177</v>
      </c>
      <c r="F119" s="43" t="s">
        <v>178</v>
      </c>
      <c r="G119" s="22" t="s">
        <v>172</v>
      </c>
      <c r="H119" s="23" t="s">
        <v>34</v>
      </c>
      <c r="I119" s="22" t="s">
        <v>26</v>
      </c>
      <c r="J119" s="23" t="s">
        <v>203</v>
      </c>
      <c r="K119" s="22" t="s">
        <v>204</v>
      </c>
      <c r="L119" s="65">
        <v>-1</v>
      </c>
      <c r="M119" s="63">
        <v>-12982</v>
      </c>
      <c r="N119" s="25">
        <v>18455</v>
      </c>
      <c r="O119" s="27">
        <f t="shared" si="1"/>
        <v>-14410.02</v>
      </c>
    </row>
    <row r="120" spans="1:15" ht="12.2" customHeight="1" x14ac:dyDescent="0.25">
      <c r="A120" s="28"/>
      <c r="B120" s="66"/>
      <c r="C120" s="34"/>
      <c r="D120" s="42" t="s">
        <v>205</v>
      </c>
      <c r="E120" s="23" t="s">
        <v>177</v>
      </c>
      <c r="F120" s="22" t="s">
        <v>178</v>
      </c>
      <c r="G120" s="23" t="s">
        <v>172</v>
      </c>
      <c r="H120" s="22" t="s">
        <v>34</v>
      </c>
      <c r="I120" s="23" t="s">
        <v>26</v>
      </c>
      <c r="J120" s="22" t="s">
        <v>132</v>
      </c>
      <c r="K120" s="23" t="s">
        <v>133</v>
      </c>
      <c r="L120" s="63">
        <v>-1</v>
      </c>
      <c r="M120" s="65">
        <v>-17884</v>
      </c>
      <c r="N120" s="26">
        <v>24116</v>
      </c>
      <c r="O120" s="27">
        <f t="shared" si="1"/>
        <v>-19851.240000000002</v>
      </c>
    </row>
    <row r="121" spans="1:15" ht="12.2" customHeight="1" x14ac:dyDescent="0.25">
      <c r="A121" s="28"/>
      <c r="B121" s="31" t="s">
        <v>206</v>
      </c>
      <c r="C121" s="30" t="s">
        <v>207</v>
      </c>
      <c r="D121" s="31" t="s">
        <v>208</v>
      </c>
      <c r="E121" s="31" t="s">
        <v>209</v>
      </c>
      <c r="F121" s="31" t="s">
        <v>210</v>
      </c>
      <c r="G121" s="31" t="s">
        <v>211</v>
      </c>
      <c r="H121" s="31" t="s">
        <v>212</v>
      </c>
      <c r="I121" s="31" t="s">
        <v>213</v>
      </c>
      <c r="J121" s="23" t="s">
        <v>181</v>
      </c>
      <c r="K121" s="22" t="s">
        <v>182</v>
      </c>
      <c r="L121" s="65">
        <v>-40</v>
      </c>
      <c r="M121" s="63">
        <v>-199270</v>
      </c>
      <c r="N121" s="25">
        <v>7020</v>
      </c>
      <c r="O121" s="27">
        <f t="shared" si="1"/>
        <v>-221189.7</v>
      </c>
    </row>
    <row r="122" spans="1:15" ht="12.2" customHeight="1" x14ac:dyDescent="0.25">
      <c r="A122" s="28"/>
      <c r="B122" s="33"/>
      <c r="C122" s="33"/>
      <c r="D122" s="34"/>
      <c r="E122" s="34"/>
      <c r="F122" s="34"/>
      <c r="G122" s="34"/>
      <c r="H122" s="34"/>
      <c r="I122" s="34"/>
      <c r="J122" s="22" t="s">
        <v>183</v>
      </c>
      <c r="K122" s="23" t="s">
        <v>184</v>
      </c>
      <c r="L122" s="63">
        <v>-30</v>
      </c>
      <c r="M122" s="65">
        <v>-149453</v>
      </c>
      <c r="N122" s="26">
        <v>7020</v>
      </c>
      <c r="O122" s="27">
        <f t="shared" si="1"/>
        <v>-165892.83000000002</v>
      </c>
    </row>
    <row r="123" spans="1:15" ht="12.2" customHeight="1" x14ac:dyDescent="0.25">
      <c r="A123" s="28"/>
      <c r="B123" s="33"/>
      <c r="C123" s="33"/>
      <c r="D123" s="31" t="s">
        <v>214</v>
      </c>
      <c r="E123" s="31" t="s">
        <v>209</v>
      </c>
      <c r="F123" s="31" t="s">
        <v>210</v>
      </c>
      <c r="G123" s="31" t="s">
        <v>211</v>
      </c>
      <c r="H123" s="31" t="s">
        <v>212</v>
      </c>
      <c r="I123" s="31" t="s">
        <v>213</v>
      </c>
      <c r="J123" s="23" t="s">
        <v>200</v>
      </c>
      <c r="K123" s="22" t="s">
        <v>201</v>
      </c>
      <c r="L123" s="65">
        <v>-28</v>
      </c>
      <c r="M123" s="63">
        <v>-181843</v>
      </c>
      <c r="N123" s="25">
        <v>9058</v>
      </c>
      <c r="O123" s="27">
        <f t="shared" si="1"/>
        <v>-201845.73</v>
      </c>
    </row>
    <row r="124" spans="1:15" ht="12.2" customHeight="1" x14ac:dyDescent="0.25">
      <c r="A124" s="28"/>
      <c r="B124" s="34"/>
      <c r="C124" s="34"/>
      <c r="D124" s="34"/>
      <c r="E124" s="34"/>
      <c r="F124" s="34"/>
      <c r="G124" s="34"/>
      <c r="H124" s="34"/>
      <c r="I124" s="34"/>
      <c r="J124" s="22" t="s">
        <v>215</v>
      </c>
      <c r="K124" s="23" t="s">
        <v>216</v>
      </c>
      <c r="L124" s="63">
        <v>-1</v>
      </c>
      <c r="M124" s="65">
        <v>-6494</v>
      </c>
      <c r="N124" s="26">
        <v>9058</v>
      </c>
      <c r="O124" s="27">
        <f t="shared" si="1"/>
        <v>-7208.3400000000011</v>
      </c>
    </row>
    <row r="125" spans="1:15" ht="12.2" customHeight="1" x14ac:dyDescent="0.25">
      <c r="A125" s="28"/>
      <c r="B125" s="31" t="s">
        <v>217</v>
      </c>
      <c r="C125" s="67" t="s">
        <v>218</v>
      </c>
      <c r="D125" s="23" t="s">
        <v>219</v>
      </c>
      <c r="E125" s="22" t="s">
        <v>147</v>
      </c>
      <c r="F125" s="23" t="s">
        <v>148</v>
      </c>
      <c r="G125" s="22" t="s">
        <v>149</v>
      </c>
      <c r="H125" s="23" t="s">
        <v>150</v>
      </c>
      <c r="I125" s="22" t="s">
        <v>151</v>
      </c>
      <c r="J125" s="38" t="s">
        <v>220</v>
      </c>
      <c r="K125" s="22" t="s">
        <v>221</v>
      </c>
      <c r="L125" s="68">
        <v>-2</v>
      </c>
      <c r="M125" s="63">
        <v>-22846</v>
      </c>
      <c r="N125" s="39">
        <v>13926</v>
      </c>
      <c r="O125" s="27">
        <f t="shared" si="1"/>
        <v>-25359.06</v>
      </c>
    </row>
    <row r="126" spans="1:15" ht="12.2" customHeight="1" x14ac:dyDescent="0.25">
      <c r="A126" s="28"/>
      <c r="B126" s="33"/>
      <c r="C126" s="30" t="s">
        <v>194</v>
      </c>
      <c r="D126" s="31" t="s">
        <v>222</v>
      </c>
      <c r="E126" s="31" t="s">
        <v>165</v>
      </c>
      <c r="F126" s="31" t="s">
        <v>166</v>
      </c>
      <c r="G126" s="31" t="s">
        <v>167</v>
      </c>
      <c r="H126" s="31" t="s">
        <v>34</v>
      </c>
      <c r="I126" s="31" t="s">
        <v>151</v>
      </c>
      <c r="J126" s="23" t="s">
        <v>136</v>
      </c>
      <c r="K126" s="22" t="s">
        <v>137</v>
      </c>
      <c r="L126" s="65">
        <v>-2</v>
      </c>
      <c r="M126" s="63">
        <v>-4591</v>
      </c>
      <c r="N126" s="25">
        <v>2831</v>
      </c>
      <c r="O126" s="27">
        <f t="shared" si="1"/>
        <v>-5096.01</v>
      </c>
    </row>
    <row r="127" spans="1:15" ht="12.2" customHeight="1" x14ac:dyDescent="0.25">
      <c r="A127" s="28"/>
      <c r="B127" s="34"/>
      <c r="C127" s="34"/>
      <c r="D127" s="34"/>
      <c r="E127" s="34"/>
      <c r="F127" s="34"/>
      <c r="G127" s="34"/>
      <c r="H127" s="34"/>
      <c r="I127" s="34"/>
      <c r="J127" s="22" t="s">
        <v>102</v>
      </c>
      <c r="K127" s="43" t="s">
        <v>103</v>
      </c>
      <c r="L127" s="63">
        <v>-2</v>
      </c>
      <c r="M127" s="64">
        <v>-4591</v>
      </c>
      <c r="N127" s="26">
        <v>2831</v>
      </c>
      <c r="O127" s="27">
        <f t="shared" si="1"/>
        <v>-5096.01</v>
      </c>
    </row>
    <row r="128" spans="1:15" ht="12.2" customHeight="1" x14ac:dyDescent="0.25">
      <c r="A128" s="28"/>
      <c r="B128" s="41" t="s">
        <v>223</v>
      </c>
      <c r="C128" s="67" t="s">
        <v>224</v>
      </c>
      <c r="D128" s="23" t="s">
        <v>225</v>
      </c>
      <c r="E128" s="22" t="s">
        <v>226</v>
      </c>
      <c r="F128" s="23" t="s">
        <v>227</v>
      </c>
      <c r="G128" s="20"/>
      <c r="H128" s="23" t="s">
        <v>25</v>
      </c>
      <c r="I128" s="22" t="s">
        <v>228</v>
      </c>
      <c r="J128" s="43" t="s">
        <v>229</v>
      </c>
      <c r="K128" s="22" t="s">
        <v>230</v>
      </c>
      <c r="L128" s="44">
        <v>240</v>
      </c>
      <c r="M128" s="24">
        <v>3147312</v>
      </c>
      <c r="N128" s="44">
        <v>45967</v>
      </c>
      <c r="O128" s="27">
        <f t="shared" si="1"/>
        <v>3493516.3200000003</v>
      </c>
    </row>
    <row r="129" spans="1:15" ht="12.2" customHeight="1" x14ac:dyDescent="0.25">
      <c r="A129" s="28"/>
      <c r="B129" s="31" t="s">
        <v>231</v>
      </c>
      <c r="C129" s="30" t="s">
        <v>218</v>
      </c>
      <c r="D129" s="31" t="s">
        <v>232</v>
      </c>
      <c r="E129" s="31" t="s">
        <v>147</v>
      </c>
      <c r="F129" s="31" t="s">
        <v>148</v>
      </c>
      <c r="G129" s="31" t="s">
        <v>149</v>
      </c>
      <c r="H129" s="31" t="s">
        <v>150</v>
      </c>
      <c r="I129" s="31" t="s">
        <v>151</v>
      </c>
      <c r="J129" s="22" t="s">
        <v>233</v>
      </c>
      <c r="K129" s="43" t="s">
        <v>234</v>
      </c>
      <c r="L129" s="63">
        <v>-5</v>
      </c>
      <c r="M129" s="64">
        <v>-88739</v>
      </c>
      <c r="N129" s="26">
        <v>21625</v>
      </c>
      <c r="O129" s="27">
        <f t="shared" si="1"/>
        <v>-98500.290000000008</v>
      </c>
    </row>
    <row r="130" spans="1:15" ht="12.2" customHeight="1" x14ac:dyDescent="0.25">
      <c r="A130" s="28"/>
      <c r="B130" s="33"/>
      <c r="C130" s="33"/>
      <c r="D130" s="33"/>
      <c r="E130" s="33"/>
      <c r="F130" s="33"/>
      <c r="G130" s="33"/>
      <c r="H130" s="33"/>
      <c r="I130" s="33"/>
      <c r="J130" s="47" t="s">
        <v>235</v>
      </c>
      <c r="K130" s="22" t="s">
        <v>236</v>
      </c>
      <c r="L130" s="64">
        <v>-5</v>
      </c>
      <c r="M130" s="63">
        <v>-88739</v>
      </c>
      <c r="N130" s="44">
        <v>21625</v>
      </c>
      <c r="O130" s="27">
        <f t="shared" si="1"/>
        <v>-98500.290000000008</v>
      </c>
    </row>
    <row r="131" spans="1:15" ht="12.2" customHeight="1" x14ac:dyDescent="0.25">
      <c r="A131" s="28"/>
      <c r="B131" s="33"/>
      <c r="C131" s="33"/>
      <c r="D131" s="33"/>
      <c r="E131" s="33"/>
      <c r="F131" s="33"/>
      <c r="G131" s="33"/>
      <c r="H131" s="33"/>
      <c r="I131" s="33"/>
      <c r="J131" s="22" t="s">
        <v>237</v>
      </c>
      <c r="K131" s="43" t="s">
        <v>238</v>
      </c>
      <c r="L131" s="63">
        <v>-3</v>
      </c>
      <c r="M131" s="64">
        <v>-53243</v>
      </c>
      <c r="N131" s="26">
        <v>21625</v>
      </c>
      <c r="O131" s="27">
        <f t="shared" si="1"/>
        <v>-59099.73</v>
      </c>
    </row>
    <row r="132" spans="1:15" ht="12.2" customHeight="1" x14ac:dyDescent="0.25">
      <c r="A132" s="28"/>
      <c r="B132" s="33"/>
      <c r="C132" s="33"/>
      <c r="D132" s="33"/>
      <c r="E132" s="33"/>
      <c r="F132" s="33"/>
      <c r="G132" s="33"/>
      <c r="H132" s="33"/>
      <c r="I132" s="33"/>
      <c r="J132" s="47" t="s">
        <v>239</v>
      </c>
      <c r="K132" s="22" t="s">
        <v>240</v>
      </c>
      <c r="L132" s="64">
        <v>-6</v>
      </c>
      <c r="M132" s="63">
        <v>-106487</v>
      </c>
      <c r="N132" s="44">
        <v>21625</v>
      </c>
      <c r="O132" s="27">
        <f t="shared" si="1"/>
        <v>-118200.57</v>
      </c>
    </row>
    <row r="133" spans="1:15" ht="12.2" customHeight="1" x14ac:dyDescent="0.25">
      <c r="A133" s="28"/>
      <c r="B133" s="33"/>
      <c r="C133" s="33"/>
      <c r="D133" s="33"/>
      <c r="E133" s="33"/>
      <c r="F133" s="33"/>
      <c r="G133" s="33"/>
      <c r="H133" s="33"/>
      <c r="I133" s="33"/>
      <c r="J133" s="22" t="s">
        <v>241</v>
      </c>
      <c r="K133" s="43" t="s">
        <v>242</v>
      </c>
      <c r="L133" s="63">
        <v>-5</v>
      </c>
      <c r="M133" s="64">
        <v>-100469</v>
      </c>
      <c r="N133" s="26">
        <v>24116</v>
      </c>
      <c r="O133" s="27">
        <f t="shared" si="1"/>
        <v>-111520.59000000001</v>
      </c>
    </row>
    <row r="134" spans="1:15" ht="12.2" customHeight="1" x14ac:dyDescent="0.25">
      <c r="A134" s="28"/>
      <c r="B134" s="33"/>
      <c r="C134" s="34"/>
      <c r="D134" s="34"/>
      <c r="E134" s="34"/>
      <c r="F134" s="34"/>
      <c r="G134" s="34"/>
      <c r="H134" s="34"/>
      <c r="I134" s="34"/>
      <c r="J134" s="47" t="s">
        <v>243</v>
      </c>
      <c r="K134" s="22" t="s">
        <v>244</v>
      </c>
      <c r="L134" s="69">
        <v>-2</v>
      </c>
      <c r="M134" s="63">
        <v>-40187</v>
      </c>
      <c r="N134" s="46">
        <v>24116</v>
      </c>
      <c r="O134" s="27">
        <f t="shared" si="1"/>
        <v>-44607.570000000007</v>
      </c>
    </row>
    <row r="135" spans="1:15" ht="12.2" customHeight="1" x14ac:dyDescent="0.25">
      <c r="A135" s="28"/>
      <c r="B135" s="33"/>
      <c r="C135" s="30" t="s">
        <v>194</v>
      </c>
      <c r="D135" s="43" t="s">
        <v>245</v>
      </c>
      <c r="E135" s="22" t="s">
        <v>196</v>
      </c>
      <c r="F135" s="43" t="s">
        <v>197</v>
      </c>
      <c r="G135" s="22" t="s">
        <v>198</v>
      </c>
      <c r="H135" s="43" t="s">
        <v>122</v>
      </c>
      <c r="I135" s="22" t="s">
        <v>97</v>
      </c>
      <c r="J135" s="23" t="s">
        <v>246</v>
      </c>
      <c r="K135" s="22" t="s">
        <v>247</v>
      </c>
      <c r="L135" s="65">
        <v>-1</v>
      </c>
      <c r="M135" s="63">
        <v>-14586</v>
      </c>
      <c r="N135" s="25">
        <v>18455</v>
      </c>
      <c r="O135" s="27">
        <f t="shared" ref="O135:O198" si="2">M135*1.11</f>
        <v>-16190.460000000001</v>
      </c>
    </row>
    <row r="136" spans="1:15" ht="12.2" customHeight="1" x14ac:dyDescent="0.25">
      <c r="A136" s="28"/>
      <c r="B136" s="33"/>
      <c r="C136" s="33"/>
      <c r="D136" s="22" t="s">
        <v>248</v>
      </c>
      <c r="E136" s="43" t="s">
        <v>196</v>
      </c>
      <c r="F136" s="22" t="s">
        <v>197</v>
      </c>
      <c r="G136" s="43" t="s">
        <v>198</v>
      </c>
      <c r="H136" s="22" t="s">
        <v>122</v>
      </c>
      <c r="I136" s="43" t="s">
        <v>97</v>
      </c>
      <c r="J136" s="22" t="s">
        <v>241</v>
      </c>
      <c r="K136" s="43" t="s">
        <v>242</v>
      </c>
      <c r="L136" s="63">
        <v>-3</v>
      </c>
      <c r="M136" s="64">
        <v>-60282</v>
      </c>
      <c r="N136" s="26">
        <v>24116</v>
      </c>
      <c r="O136" s="27">
        <f t="shared" si="2"/>
        <v>-66913.02</v>
      </c>
    </row>
    <row r="137" spans="1:15" ht="12.2" customHeight="1" x14ac:dyDescent="0.25">
      <c r="A137" s="28"/>
      <c r="B137" s="33"/>
      <c r="C137" s="33"/>
      <c r="D137" s="31" t="s">
        <v>249</v>
      </c>
      <c r="E137" s="31" t="s">
        <v>250</v>
      </c>
      <c r="F137" s="31" t="s">
        <v>251</v>
      </c>
      <c r="G137" s="31" t="s">
        <v>252</v>
      </c>
      <c r="H137" s="31" t="s">
        <v>253</v>
      </c>
      <c r="I137" s="31" t="s">
        <v>26</v>
      </c>
      <c r="J137" s="43" t="s">
        <v>254</v>
      </c>
      <c r="K137" s="22" t="s">
        <v>255</v>
      </c>
      <c r="L137" s="64">
        <v>-15</v>
      </c>
      <c r="M137" s="63">
        <v>-62230</v>
      </c>
      <c r="N137" s="44">
        <v>5095</v>
      </c>
      <c r="O137" s="27">
        <f t="shared" si="2"/>
        <v>-69075.3</v>
      </c>
    </row>
    <row r="138" spans="1:15" ht="12.2" customHeight="1" x14ac:dyDescent="0.25">
      <c r="A138" s="28"/>
      <c r="B138" s="33"/>
      <c r="C138" s="33"/>
      <c r="D138" s="33"/>
      <c r="E138" s="33"/>
      <c r="F138" s="33"/>
      <c r="G138" s="33"/>
      <c r="H138" s="33"/>
      <c r="I138" s="33"/>
      <c r="J138" s="22" t="s">
        <v>256</v>
      </c>
      <c r="K138" s="43" t="s">
        <v>257</v>
      </c>
      <c r="L138" s="63">
        <v>-15</v>
      </c>
      <c r="M138" s="64">
        <v>-62230</v>
      </c>
      <c r="N138" s="26">
        <v>5095</v>
      </c>
      <c r="O138" s="27">
        <f t="shared" si="2"/>
        <v>-69075.3</v>
      </c>
    </row>
    <row r="139" spans="1:15" ht="12.2" customHeight="1" x14ac:dyDescent="0.25">
      <c r="A139" s="28"/>
      <c r="B139" s="33"/>
      <c r="C139" s="33"/>
      <c r="D139" s="34"/>
      <c r="E139" s="34"/>
      <c r="F139" s="34"/>
      <c r="G139" s="34"/>
      <c r="H139" s="34"/>
      <c r="I139" s="34"/>
      <c r="J139" s="43" t="s">
        <v>258</v>
      </c>
      <c r="K139" s="22" t="s">
        <v>259</v>
      </c>
      <c r="L139" s="64">
        <v>-15</v>
      </c>
      <c r="M139" s="63">
        <v>-62230</v>
      </c>
      <c r="N139" s="44">
        <v>5095</v>
      </c>
      <c r="O139" s="27">
        <f t="shared" si="2"/>
        <v>-69075.3</v>
      </c>
    </row>
    <row r="140" spans="1:15" ht="12.2" customHeight="1" x14ac:dyDescent="0.25">
      <c r="A140" s="28"/>
      <c r="B140" s="33"/>
      <c r="C140" s="33"/>
      <c r="D140" s="22" t="s">
        <v>260</v>
      </c>
      <c r="E140" s="43" t="s">
        <v>177</v>
      </c>
      <c r="F140" s="22" t="s">
        <v>178</v>
      </c>
      <c r="G140" s="43" t="s">
        <v>172</v>
      </c>
      <c r="H140" s="22" t="s">
        <v>34</v>
      </c>
      <c r="I140" s="43" t="s">
        <v>26</v>
      </c>
      <c r="J140" s="22" t="s">
        <v>140</v>
      </c>
      <c r="K140" s="43" t="s">
        <v>141</v>
      </c>
      <c r="L140" s="63">
        <v>-2</v>
      </c>
      <c r="M140" s="64">
        <v>-25963</v>
      </c>
      <c r="N140" s="26">
        <v>18455</v>
      </c>
      <c r="O140" s="27">
        <f t="shared" si="2"/>
        <v>-28818.930000000004</v>
      </c>
    </row>
    <row r="141" spans="1:15" ht="12.2" customHeight="1" x14ac:dyDescent="0.25">
      <c r="A141" s="28"/>
      <c r="B141" s="33"/>
      <c r="C141" s="33"/>
      <c r="D141" s="43" t="s">
        <v>261</v>
      </c>
      <c r="E141" s="22" t="s">
        <v>177</v>
      </c>
      <c r="F141" s="43" t="s">
        <v>178</v>
      </c>
      <c r="G141" s="22" t="s">
        <v>172</v>
      </c>
      <c r="H141" s="43" t="s">
        <v>34</v>
      </c>
      <c r="I141" s="22" t="s">
        <v>26</v>
      </c>
      <c r="J141" s="43" t="s">
        <v>246</v>
      </c>
      <c r="K141" s="22" t="s">
        <v>247</v>
      </c>
      <c r="L141" s="64">
        <v>-1</v>
      </c>
      <c r="M141" s="63">
        <v>-12982</v>
      </c>
      <c r="N141" s="44">
        <v>18455</v>
      </c>
      <c r="O141" s="27">
        <f t="shared" si="2"/>
        <v>-14410.02</v>
      </c>
    </row>
    <row r="142" spans="1:15" ht="12.2" customHeight="1" x14ac:dyDescent="0.25">
      <c r="A142" s="28"/>
      <c r="B142" s="34"/>
      <c r="C142" s="34"/>
      <c r="D142" s="22" t="s">
        <v>262</v>
      </c>
      <c r="E142" s="43" t="s">
        <v>177</v>
      </c>
      <c r="F142" s="22" t="s">
        <v>178</v>
      </c>
      <c r="G142" s="43" t="s">
        <v>172</v>
      </c>
      <c r="H142" s="22" t="s">
        <v>34</v>
      </c>
      <c r="I142" s="43" t="s">
        <v>26</v>
      </c>
      <c r="J142" s="22" t="s">
        <v>237</v>
      </c>
      <c r="K142" s="43" t="s">
        <v>238</v>
      </c>
      <c r="L142" s="63">
        <v>-1</v>
      </c>
      <c r="M142" s="64">
        <v>-15796</v>
      </c>
      <c r="N142" s="26">
        <v>21625</v>
      </c>
      <c r="O142" s="27">
        <f t="shared" si="2"/>
        <v>-17533.560000000001</v>
      </c>
    </row>
    <row r="143" spans="1:15" ht="12.2" customHeight="1" x14ac:dyDescent="0.25">
      <c r="A143" s="28"/>
      <c r="B143" s="31" t="s">
        <v>263</v>
      </c>
      <c r="C143" s="30" t="s">
        <v>264</v>
      </c>
      <c r="D143" s="31" t="s">
        <v>265</v>
      </c>
      <c r="E143" s="31" t="s">
        <v>266</v>
      </c>
      <c r="F143" s="31" t="s">
        <v>267</v>
      </c>
      <c r="G143" s="31" t="s">
        <v>268</v>
      </c>
      <c r="H143" s="31" t="s">
        <v>269</v>
      </c>
      <c r="I143" s="31" t="s">
        <v>270</v>
      </c>
      <c r="J143" s="43" t="s">
        <v>271</v>
      </c>
      <c r="K143" s="22" t="s">
        <v>272</v>
      </c>
      <c r="L143" s="64">
        <v>-3</v>
      </c>
      <c r="M143" s="63">
        <v>-70460</v>
      </c>
      <c r="N143" s="44">
        <v>32834</v>
      </c>
      <c r="O143" s="27">
        <f t="shared" si="2"/>
        <v>-78210.600000000006</v>
      </c>
    </row>
    <row r="144" spans="1:15" ht="12.2" customHeight="1" x14ac:dyDescent="0.25">
      <c r="A144" s="28"/>
      <c r="B144" s="33"/>
      <c r="C144" s="33"/>
      <c r="D144" s="33"/>
      <c r="E144" s="33"/>
      <c r="F144" s="33"/>
      <c r="G144" s="33"/>
      <c r="H144" s="33"/>
      <c r="I144" s="33"/>
      <c r="J144" s="22" t="s">
        <v>273</v>
      </c>
      <c r="K144" s="43" t="s">
        <v>274</v>
      </c>
      <c r="L144" s="63">
        <v>-1</v>
      </c>
      <c r="M144" s="64">
        <v>-6494</v>
      </c>
      <c r="N144" s="26">
        <v>9058</v>
      </c>
      <c r="O144" s="27">
        <f t="shared" si="2"/>
        <v>-7208.3400000000011</v>
      </c>
    </row>
    <row r="145" spans="1:15" ht="12.2" customHeight="1" x14ac:dyDescent="0.25">
      <c r="A145" s="28"/>
      <c r="B145" s="33"/>
      <c r="C145" s="33"/>
      <c r="D145" s="34"/>
      <c r="E145" s="34"/>
      <c r="F145" s="34"/>
      <c r="G145" s="34"/>
      <c r="H145" s="34"/>
      <c r="I145" s="34"/>
      <c r="J145" s="43" t="s">
        <v>275</v>
      </c>
      <c r="K145" s="22" t="s">
        <v>276</v>
      </c>
      <c r="L145" s="64">
        <v>-1</v>
      </c>
      <c r="M145" s="63">
        <v>-6494</v>
      </c>
      <c r="N145" s="44">
        <v>9058</v>
      </c>
      <c r="O145" s="27">
        <f t="shared" si="2"/>
        <v>-7208.3400000000011</v>
      </c>
    </row>
    <row r="146" spans="1:15" ht="12.2" customHeight="1" x14ac:dyDescent="0.25">
      <c r="A146" s="28"/>
      <c r="B146" s="33"/>
      <c r="C146" s="33"/>
      <c r="D146" s="31" t="s">
        <v>277</v>
      </c>
      <c r="E146" s="31" t="s">
        <v>266</v>
      </c>
      <c r="F146" s="31" t="s">
        <v>267</v>
      </c>
      <c r="G146" s="31" t="s">
        <v>268</v>
      </c>
      <c r="H146" s="31" t="s">
        <v>269</v>
      </c>
      <c r="I146" s="31" t="s">
        <v>270</v>
      </c>
      <c r="J146" s="22" t="s">
        <v>278</v>
      </c>
      <c r="K146" s="43" t="s">
        <v>279</v>
      </c>
      <c r="L146" s="63">
        <v>-1</v>
      </c>
      <c r="M146" s="64">
        <v>-50621</v>
      </c>
      <c r="N146" s="26">
        <v>72800</v>
      </c>
      <c r="O146" s="27">
        <f t="shared" si="2"/>
        <v>-56189.310000000005</v>
      </c>
    </row>
    <row r="147" spans="1:15" ht="12.2" customHeight="1" x14ac:dyDescent="0.25">
      <c r="A147" s="28"/>
      <c r="B147" s="33"/>
      <c r="C147" s="33"/>
      <c r="D147" s="33"/>
      <c r="E147" s="33"/>
      <c r="F147" s="33"/>
      <c r="G147" s="33"/>
      <c r="H147" s="33"/>
      <c r="I147" s="33"/>
      <c r="J147" s="47" t="s">
        <v>280</v>
      </c>
      <c r="K147" s="22" t="s">
        <v>281</v>
      </c>
      <c r="L147" s="64">
        <v>-1</v>
      </c>
      <c r="M147" s="63">
        <v>-37276</v>
      </c>
      <c r="N147" s="44">
        <v>52194</v>
      </c>
      <c r="O147" s="27">
        <f t="shared" si="2"/>
        <v>-41376.36</v>
      </c>
    </row>
    <row r="148" spans="1:15" ht="12.2" customHeight="1" x14ac:dyDescent="0.25">
      <c r="A148" s="28"/>
      <c r="B148" s="33"/>
      <c r="C148" s="33"/>
      <c r="D148" s="33"/>
      <c r="E148" s="33"/>
      <c r="F148" s="33"/>
      <c r="G148" s="33"/>
      <c r="H148" s="33"/>
      <c r="I148" s="33"/>
      <c r="J148" s="22" t="s">
        <v>282</v>
      </c>
      <c r="K148" s="43" t="s">
        <v>283</v>
      </c>
      <c r="L148" s="63">
        <v>-1</v>
      </c>
      <c r="M148" s="64">
        <v>-37276</v>
      </c>
      <c r="N148" s="26">
        <v>52194</v>
      </c>
      <c r="O148" s="27">
        <f t="shared" si="2"/>
        <v>-41376.36</v>
      </c>
    </row>
    <row r="149" spans="1:15" ht="12.2" customHeight="1" x14ac:dyDescent="0.25">
      <c r="A149" s="28"/>
      <c r="B149" s="33"/>
      <c r="C149" s="33"/>
      <c r="D149" s="33"/>
      <c r="E149" s="33"/>
      <c r="F149" s="33"/>
      <c r="G149" s="33"/>
      <c r="H149" s="33"/>
      <c r="I149" s="33"/>
      <c r="J149" s="47" t="s">
        <v>284</v>
      </c>
      <c r="K149" s="22" t="s">
        <v>285</v>
      </c>
      <c r="L149" s="64">
        <v>-1</v>
      </c>
      <c r="M149" s="63">
        <v>-13167</v>
      </c>
      <c r="N149" s="44">
        <v>18455</v>
      </c>
      <c r="O149" s="27">
        <f t="shared" si="2"/>
        <v>-14615.37</v>
      </c>
    </row>
    <row r="150" spans="1:15" ht="12.2" customHeight="1" x14ac:dyDescent="0.25">
      <c r="A150" s="28"/>
      <c r="B150" s="33"/>
      <c r="C150" s="33"/>
      <c r="D150" s="34"/>
      <c r="E150" s="34"/>
      <c r="F150" s="34"/>
      <c r="G150" s="34"/>
      <c r="H150" s="34"/>
      <c r="I150" s="34"/>
      <c r="J150" s="22" t="s">
        <v>286</v>
      </c>
      <c r="K150" s="43" t="s">
        <v>287</v>
      </c>
      <c r="L150" s="63">
        <v>-1</v>
      </c>
      <c r="M150" s="64">
        <v>-23487</v>
      </c>
      <c r="N150" s="26">
        <v>32834</v>
      </c>
      <c r="O150" s="27">
        <f t="shared" si="2"/>
        <v>-26070.570000000003</v>
      </c>
    </row>
    <row r="151" spans="1:15" ht="12.2" customHeight="1" x14ac:dyDescent="0.25">
      <c r="A151" s="28"/>
      <c r="B151" s="33"/>
      <c r="C151" s="33"/>
      <c r="D151" s="31" t="s">
        <v>288</v>
      </c>
      <c r="E151" s="31" t="s">
        <v>266</v>
      </c>
      <c r="F151" s="31" t="s">
        <v>267</v>
      </c>
      <c r="G151" s="31" t="s">
        <v>268</v>
      </c>
      <c r="H151" s="31" t="s">
        <v>269</v>
      </c>
      <c r="I151" s="31" t="s">
        <v>270</v>
      </c>
      <c r="J151" s="43" t="s">
        <v>289</v>
      </c>
      <c r="K151" s="22" t="s">
        <v>290</v>
      </c>
      <c r="L151" s="64">
        <v>-2</v>
      </c>
      <c r="M151" s="63">
        <v>-18883</v>
      </c>
      <c r="N151" s="44">
        <v>12907</v>
      </c>
      <c r="O151" s="27">
        <f t="shared" si="2"/>
        <v>-20960.13</v>
      </c>
    </row>
    <row r="152" spans="1:15" ht="12.2" customHeight="1" x14ac:dyDescent="0.25">
      <c r="A152" s="28"/>
      <c r="B152" s="34"/>
      <c r="C152" s="34"/>
      <c r="D152" s="34"/>
      <c r="E152" s="34"/>
      <c r="F152" s="34"/>
      <c r="G152" s="34"/>
      <c r="H152" s="34"/>
      <c r="I152" s="34"/>
      <c r="J152" s="22" t="s">
        <v>291</v>
      </c>
      <c r="K152" s="23" t="s">
        <v>292</v>
      </c>
      <c r="L152" s="63">
        <v>-3</v>
      </c>
      <c r="M152" s="65">
        <v>-28324</v>
      </c>
      <c r="N152" s="26">
        <v>12907</v>
      </c>
      <c r="O152" s="27">
        <f t="shared" si="2"/>
        <v>-31439.640000000003</v>
      </c>
    </row>
    <row r="153" spans="1:15" ht="12.2" customHeight="1" x14ac:dyDescent="0.25">
      <c r="A153" s="28"/>
      <c r="B153" s="31" t="s">
        <v>293</v>
      </c>
      <c r="C153" s="30" t="s">
        <v>21</v>
      </c>
      <c r="D153" s="31" t="s">
        <v>294</v>
      </c>
      <c r="E153" s="31" t="s">
        <v>295</v>
      </c>
      <c r="F153" s="31" t="s">
        <v>296</v>
      </c>
      <c r="G153" s="31" t="s">
        <v>297</v>
      </c>
      <c r="H153" s="31" t="s">
        <v>298</v>
      </c>
      <c r="I153" s="31" t="s">
        <v>299</v>
      </c>
      <c r="J153" s="23" t="s">
        <v>35</v>
      </c>
      <c r="K153" s="22" t="s">
        <v>36</v>
      </c>
      <c r="L153" s="25">
        <v>504</v>
      </c>
      <c r="M153" s="24">
        <v>6717312</v>
      </c>
      <c r="N153" s="25">
        <v>31702</v>
      </c>
      <c r="O153" s="27">
        <f t="shared" si="2"/>
        <v>7456216.3200000003</v>
      </c>
    </row>
    <row r="154" spans="1:15" ht="12.2" customHeight="1" x14ac:dyDescent="0.25">
      <c r="A154" s="28"/>
      <c r="B154" s="33"/>
      <c r="C154" s="33"/>
      <c r="D154" s="33"/>
      <c r="E154" s="33"/>
      <c r="F154" s="33"/>
      <c r="G154" s="33"/>
      <c r="H154" s="33"/>
      <c r="I154" s="33"/>
      <c r="J154" s="22" t="s">
        <v>37</v>
      </c>
      <c r="K154" s="23" t="s">
        <v>38</v>
      </c>
      <c r="L154" s="24">
        <v>252</v>
      </c>
      <c r="M154" s="25">
        <v>5037984</v>
      </c>
      <c r="N154" s="26">
        <v>47552</v>
      </c>
      <c r="O154" s="27">
        <f t="shared" si="2"/>
        <v>5592162.2400000002</v>
      </c>
    </row>
    <row r="155" spans="1:15" ht="12.2" customHeight="1" x14ac:dyDescent="0.25">
      <c r="A155" s="28"/>
      <c r="B155" s="33"/>
      <c r="C155" s="33"/>
      <c r="D155" s="33"/>
      <c r="E155" s="33"/>
      <c r="F155" s="33"/>
      <c r="G155" s="33"/>
      <c r="H155" s="33"/>
      <c r="I155" s="33"/>
      <c r="J155" s="23" t="s">
        <v>27</v>
      </c>
      <c r="K155" s="22" t="s">
        <v>28</v>
      </c>
      <c r="L155" s="25">
        <v>126</v>
      </c>
      <c r="M155" s="24">
        <v>4846061</v>
      </c>
      <c r="N155" s="25">
        <v>91482</v>
      </c>
      <c r="O155" s="27">
        <f t="shared" si="2"/>
        <v>5379127.7100000009</v>
      </c>
    </row>
    <row r="156" spans="1:15" ht="12.2" customHeight="1" x14ac:dyDescent="0.25">
      <c r="A156" s="28"/>
      <c r="B156" s="33"/>
      <c r="C156" s="33"/>
      <c r="D156" s="34"/>
      <c r="E156" s="34"/>
      <c r="F156" s="34"/>
      <c r="G156" s="34"/>
      <c r="H156" s="34"/>
      <c r="I156" s="34"/>
      <c r="J156" s="22" t="s">
        <v>56</v>
      </c>
      <c r="K156" s="23" t="s">
        <v>57</v>
      </c>
      <c r="L156" s="24">
        <v>60</v>
      </c>
      <c r="M156" s="25">
        <v>905638</v>
      </c>
      <c r="N156" s="26">
        <v>17096</v>
      </c>
      <c r="O156" s="27">
        <f t="shared" si="2"/>
        <v>1005258.18</v>
      </c>
    </row>
    <row r="157" spans="1:15" ht="12.2" customHeight="1" x14ac:dyDescent="0.25">
      <c r="A157" s="28"/>
      <c r="B157" s="33"/>
      <c r="C157" s="33"/>
      <c r="D157" s="31" t="s">
        <v>300</v>
      </c>
      <c r="E157" s="31" t="s">
        <v>301</v>
      </c>
      <c r="F157" s="31" t="s">
        <v>302</v>
      </c>
      <c r="G157" s="31" t="s">
        <v>303</v>
      </c>
      <c r="H157" s="31" t="s">
        <v>304</v>
      </c>
      <c r="I157" s="31" t="s">
        <v>305</v>
      </c>
      <c r="J157" s="23" t="s">
        <v>132</v>
      </c>
      <c r="K157" s="22" t="s">
        <v>133</v>
      </c>
      <c r="L157" s="25">
        <v>6</v>
      </c>
      <c r="M157" s="24">
        <v>130356</v>
      </c>
      <c r="N157" s="25">
        <v>24116</v>
      </c>
      <c r="O157" s="27">
        <f t="shared" si="2"/>
        <v>144695.16</v>
      </c>
    </row>
    <row r="158" spans="1:15" ht="12.2" customHeight="1" x14ac:dyDescent="0.25">
      <c r="A158" s="28"/>
      <c r="B158" s="33"/>
      <c r="C158" s="33"/>
      <c r="D158" s="33"/>
      <c r="E158" s="33"/>
      <c r="F158" s="33"/>
      <c r="G158" s="33"/>
      <c r="H158" s="33"/>
      <c r="I158" s="33"/>
      <c r="J158" s="22" t="s">
        <v>243</v>
      </c>
      <c r="K158" s="23" t="s">
        <v>244</v>
      </c>
      <c r="L158" s="24">
        <v>12</v>
      </c>
      <c r="M158" s="25">
        <v>260712</v>
      </c>
      <c r="N158" s="26">
        <v>24116</v>
      </c>
      <c r="O158" s="27">
        <f t="shared" si="2"/>
        <v>289390.32</v>
      </c>
    </row>
    <row r="159" spans="1:15" ht="12.2" customHeight="1" x14ac:dyDescent="0.25">
      <c r="A159" s="28"/>
      <c r="B159" s="33"/>
      <c r="C159" s="33"/>
      <c r="D159" s="33"/>
      <c r="E159" s="33"/>
      <c r="F159" s="33"/>
      <c r="G159" s="33"/>
      <c r="H159" s="33"/>
      <c r="I159" s="33"/>
      <c r="J159" s="23" t="s">
        <v>134</v>
      </c>
      <c r="K159" s="22" t="s">
        <v>135</v>
      </c>
      <c r="L159" s="25">
        <v>12</v>
      </c>
      <c r="M159" s="24">
        <v>260712</v>
      </c>
      <c r="N159" s="25">
        <v>24116</v>
      </c>
      <c r="O159" s="27">
        <f t="shared" si="2"/>
        <v>289390.32</v>
      </c>
    </row>
    <row r="160" spans="1:15" ht="12.2" customHeight="1" x14ac:dyDescent="0.25">
      <c r="A160" s="28"/>
      <c r="B160" s="33"/>
      <c r="C160" s="33"/>
      <c r="D160" s="33"/>
      <c r="E160" s="33"/>
      <c r="F160" s="33"/>
      <c r="G160" s="33"/>
      <c r="H160" s="33"/>
      <c r="I160" s="33"/>
      <c r="J160" s="22" t="s">
        <v>246</v>
      </c>
      <c r="K160" s="23" t="s">
        <v>247</v>
      </c>
      <c r="L160" s="24">
        <v>6</v>
      </c>
      <c r="M160" s="25">
        <v>99756</v>
      </c>
      <c r="N160" s="26">
        <v>18455</v>
      </c>
      <c r="O160" s="27">
        <f t="shared" si="2"/>
        <v>110729.16</v>
      </c>
    </row>
    <row r="161" spans="1:15" ht="12.2" customHeight="1" x14ac:dyDescent="0.25">
      <c r="A161" s="28"/>
      <c r="B161" s="33"/>
      <c r="C161" s="33"/>
      <c r="D161" s="33"/>
      <c r="E161" s="33"/>
      <c r="F161" s="33"/>
      <c r="G161" s="33"/>
      <c r="H161" s="33"/>
      <c r="I161" s="33"/>
      <c r="J161" s="23" t="s">
        <v>179</v>
      </c>
      <c r="K161" s="22" t="s">
        <v>180</v>
      </c>
      <c r="L161" s="25">
        <v>24</v>
      </c>
      <c r="M161" s="24">
        <v>151776</v>
      </c>
      <c r="N161" s="25">
        <v>7020</v>
      </c>
      <c r="O161" s="27">
        <f t="shared" si="2"/>
        <v>168471.36000000002</v>
      </c>
    </row>
    <row r="162" spans="1:15" ht="12.2" customHeight="1" x14ac:dyDescent="0.25">
      <c r="A162" s="28"/>
      <c r="B162" s="33"/>
      <c r="C162" s="33"/>
      <c r="D162" s="33"/>
      <c r="E162" s="33"/>
      <c r="F162" s="33"/>
      <c r="G162" s="33"/>
      <c r="H162" s="33"/>
      <c r="I162" s="33"/>
      <c r="J162" s="42" t="s">
        <v>181</v>
      </c>
      <c r="K162" s="23" t="s">
        <v>182</v>
      </c>
      <c r="L162" s="24">
        <v>24</v>
      </c>
      <c r="M162" s="44">
        <v>151776</v>
      </c>
      <c r="N162" s="26">
        <v>7020</v>
      </c>
      <c r="O162" s="27">
        <f t="shared" si="2"/>
        <v>168471.36000000002</v>
      </c>
    </row>
    <row r="163" spans="1:15" ht="12.2" customHeight="1" x14ac:dyDescent="0.25">
      <c r="A163" s="28"/>
      <c r="B163" s="33"/>
      <c r="C163" s="33"/>
      <c r="D163" s="33"/>
      <c r="E163" s="33"/>
      <c r="F163" s="33"/>
      <c r="G163" s="33"/>
      <c r="H163" s="33"/>
      <c r="I163" s="33"/>
      <c r="J163" s="43" t="s">
        <v>183</v>
      </c>
      <c r="K163" s="22" t="s">
        <v>184</v>
      </c>
      <c r="L163" s="44">
        <v>24</v>
      </c>
      <c r="M163" s="24">
        <v>151776</v>
      </c>
      <c r="N163" s="44">
        <v>7020</v>
      </c>
      <c r="O163" s="27">
        <f t="shared" si="2"/>
        <v>168471.36000000002</v>
      </c>
    </row>
    <row r="164" spans="1:15" ht="12.2" customHeight="1" x14ac:dyDescent="0.25">
      <c r="A164" s="28"/>
      <c r="B164" s="33"/>
      <c r="C164" s="33"/>
      <c r="D164" s="34"/>
      <c r="E164" s="34"/>
      <c r="F164" s="34"/>
      <c r="G164" s="34"/>
      <c r="H164" s="34"/>
      <c r="I164" s="34"/>
      <c r="J164" s="42" t="s">
        <v>152</v>
      </c>
      <c r="K164" s="43" t="s">
        <v>153</v>
      </c>
      <c r="L164" s="24">
        <v>6</v>
      </c>
      <c r="M164" s="44">
        <v>72216</v>
      </c>
      <c r="N164" s="26">
        <v>13360</v>
      </c>
      <c r="O164" s="27">
        <f t="shared" si="2"/>
        <v>80159.760000000009</v>
      </c>
    </row>
    <row r="165" spans="1:15" ht="12.2" customHeight="1" x14ac:dyDescent="0.25">
      <c r="A165" s="28"/>
      <c r="B165" s="33"/>
      <c r="C165" s="33"/>
      <c r="D165" s="31" t="s">
        <v>306</v>
      </c>
      <c r="E165" s="31" t="s">
        <v>301</v>
      </c>
      <c r="F165" s="31" t="s">
        <v>302</v>
      </c>
      <c r="G165" s="31" t="s">
        <v>303</v>
      </c>
      <c r="H165" s="31" t="s">
        <v>304</v>
      </c>
      <c r="I165" s="31" t="s">
        <v>305</v>
      </c>
      <c r="J165" s="43" t="s">
        <v>82</v>
      </c>
      <c r="K165" s="22" t="s">
        <v>83</v>
      </c>
      <c r="L165" s="44">
        <v>120</v>
      </c>
      <c r="M165" s="24">
        <v>2518992</v>
      </c>
      <c r="N165" s="44">
        <v>23776</v>
      </c>
      <c r="O165" s="27">
        <f t="shared" si="2"/>
        <v>2796081.12</v>
      </c>
    </row>
    <row r="166" spans="1:15" ht="12.2" customHeight="1" x14ac:dyDescent="0.25">
      <c r="A166" s="28"/>
      <c r="B166" s="33"/>
      <c r="C166" s="33"/>
      <c r="D166" s="33"/>
      <c r="E166" s="33"/>
      <c r="F166" s="33"/>
      <c r="G166" s="33"/>
      <c r="H166" s="33"/>
      <c r="I166" s="33"/>
      <c r="J166" s="22" t="s">
        <v>104</v>
      </c>
      <c r="K166" s="43" t="s">
        <v>105</v>
      </c>
      <c r="L166" s="24">
        <v>60</v>
      </c>
      <c r="M166" s="44">
        <v>2423031</v>
      </c>
      <c r="N166" s="26">
        <v>45741</v>
      </c>
      <c r="O166" s="27">
        <f t="shared" si="2"/>
        <v>2689564.41</v>
      </c>
    </row>
    <row r="167" spans="1:15" ht="12.2" customHeight="1" x14ac:dyDescent="0.25">
      <c r="A167" s="28"/>
      <c r="B167" s="33"/>
      <c r="C167" s="33"/>
      <c r="D167" s="33"/>
      <c r="E167" s="33"/>
      <c r="F167" s="33"/>
      <c r="G167" s="33"/>
      <c r="H167" s="33"/>
      <c r="I167" s="33"/>
      <c r="J167" s="43" t="s">
        <v>307</v>
      </c>
      <c r="K167" s="22" t="s">
        <v>308</v>
      </c>
      <c r="L167" s="44">
        <v>8</v>
      </c>
      <c r="M167" s="24">
        <v>573371</v>
      </c>
      <c r="N167" s="44">
        <v>81179</v>
      </c>
      <c r="O167" s="27">
        <f t="shared" si="2"/>
        <v>636441.81000000006</v>
      </c>
    </row>
    <row r="168" spans="1:15" ht="12.2" customHeight="1" x14ac:dyDescent="0.25">
      <c r="A168" s="28"/>
      <c r="B168" s="33"/>
      <c r="C168" s="33"/>
      <c r="D168" s="33"/>
      <c r="E168" s="33"/>
      <c r="F168" s="33"/>
      <c r="G168" s="33"/>
      <c r="H168" s="33"/>
      <c r="I168" s="33"/>
      <c r="J168" s="22" t="s">
        <v>309</v>
      </c>
      <c r="K168" s="43" t="s">
        <v>310</v>
      </c>
      <c r="L168" s="24">
        <v>8</v>
      </c>
      <c r="M168" s="44">
        <v>573371</v>
      </c>
      <c r="N168" s="26">
        <v>81179</v>
      </c>
      <c r="O168" s="27">
        <f t="shared" si="2"/>
        <v>636441.81000000006</v>
      </c>
    </row>
    <row r="169" spans="1:15" ht="12.2" customHeight="1" x14ac:dyDescent="0.25">
      <c r="A169" s="28"/>
      <c r="B169" s="33"/>
      <c r="C169" s="33"/>
      <c r="D169" s="33"/>
      <c r="E169" s="33"/>
      <c r="F169" s="33"/>
      <c r="G169" s="33"/>
      <c r="H169" s="33"/>
      <c r="I169" s="33"/>
      <c r="J169" s="43" t="s">
        <v>144</v>
      </c>
      <c r="K169" s="22" t="s">
        <v>145</v>
      </c>
      <c r="L169" s="44">
        <v>60</v>
      </c>
      <c r="M169" s="24">
        <v>905638</v>
      </c>
      <c r="N169" s="44">
        <v>17096</v>
      </c>
      <c r="O169" s="27">
        <f t="shared" si="2"/>
        <v>1005258.18</v>
      </c>
    </row>
    <row r="170" spans="1:15" ht="12.2" customHeight="1" x14ac:dyDescent="0.25">
      <c r="A170" s="28"/>
      <c r="B170" s="33"/>
      <c r="C170" s="33"/>
      <c r="D170" s="34"/>
      <c r="E170" s="34"/>
      <c r="F170" s="34"/>
      <c r="G170" s="34"/>
      <c r="H170" s="34"/>
      <c r="I170" s="34"/>
      <c r="J170" s="22" t="s">
        <v>56</v>
      </c>
      <c r="K170" s="43" t="s">
        <v>57</v>
      </c>
      <c r="L170" s="24">
        <v>120</v>
      </c>
      <c r="M170" s="44">
        <v>1811275</v>
      </c>
      <c r="N170" s="26">
        <v>17096</v>
      </c>
      <c r="O170" s="27">
        <f t="shared" si="2"/>
        <v>2010515.2500000002</v>
      </c>
    </row>
    <row r="171" spans="1:15" ht="12.2" customHeight="1" x14ac:dyDescent="0.25">
      <c r="A171" s="28"/>
      <c r="B171" s="33"/>
      <c r="C171" s="33"/>
      <c r="D171" s="31" t="s">
        <v>311</v>
      </c>
      <c r="E171" s="31" t="s">
        <v>312</v>
      </c>
      <c r="F171" s="31" t="s">
        <v>313</v>
      </c>
      <c r="G171" s="31" t="s">
        <v>314</v>
      </c>
      <c r="H171" s="31" t="s">
        <v>315</v>
      </c>
      <c r="I171" s="31" t="s">
        <v>26</v>
      </c>
      <c r="J171" s="43" t="s">
        <v>132</v>
      </c>
      <c r="K171" s="22" t="s">
        <v>133</v>
      </c>
      <c r="L171" s="44">
        <v>13</v>
      </c>
      <c r="M171" s="24">
        <v>260712</v>
      </c>
      <c r="N171" s="44">
        <v>48232</v>
      </c>
      <c r="O171" s="27">
        <f t="shared" si="2"/>
        <v>289390.32</v>
      </c>
    </row>
    <row r="172" spans="1:15" ht="12.2" customHeight="1" x14ac:dyDescent="0.25">
      <c r="A172" s="28"/>
      <c r="B172" s="33"/>
      <c r="C172" s="33"/>
      <c r="D172" s="33"/>
      <c r="E172" s="33"/>
      <c r="F172" s="33"/>
      <c r="G172" s="33"/>
      <c r="H172" s="33"/>
      <c r="I172" s="33"/>
      <c r="J172" s="22" t="s">
        <v>134</v>
      </c>
      <c r="K172" s="43" t="s">
        <v>135</v>
      </c>
      <c r="L172" s="24">
        <v>13</v>
      </c>
      <c r="M172" s="44">
        <v>260712</v>
      </c>
      <c r="N172" s="26">
        <v>48232</v>
      </c>
      <c r="O172" s="27">
        <f t="shared" si="2"/>
        <v>289390.32</v>
      </c>
    </row>
    <row r="173" spans="1:15" ht="12.2" customHeight="1" x14ac:dyDescent="0.25">
      <c r="A173" s="28"/>
      <c r="B173" s="33"/>
      <c r="C173" s="33"/>
      <c r="D173" s="34"/>
      <c r="E173" s="34"/>
      <c r="F173" s="34"/>
      <c r="G173" s="34"/>
      <c r="H173" s="34"/>
      <c r="I173" s="34"/>
      <c r="J173" s="43" t="s">
        <v>215</v>
      </c>
      <c r="K173" s="22" t="s">
        <v>216</v>
      </c>
      <c r="L173" s="44">
        <v>6</v>
      </c>
      <c r="M173" s="24">
        <v>48960</v>
      </c>
      <c r="N173" s="44">
        <v>9058</v>
      </c>
      <c r="O173" s="27">
        <f t="shared" si="2"/>
        <v>54345.600000000006</v>
      </c>
    </row>
    <row r="174" spans="1:15" ht="12.2" customHeight="1" x14ac:dyDescent="0.25">
      <c r="A174" s="28"/>
      <c r="B174" s="33"/>
      <c r="C174" s="33"/>
      <c r="D174" s="31" t="s">
        <v>316</v>
      </c>
      <c r="E174" s="31" t="s">
        <v>317</v>
      </c>
      <c r="F174" s="31" t="s">
        <v>318</v>
      </c>
      <c r="G174" s="31" t="s">
        <v>319</v>
      </c>
      <c r="H174" s="31" t="s">
        <v>320</v>
      </c>
      <c r="I174" s="35" t="s">
        <v>112</v>
      </c>
      <c r="J174" s="22" t="s">
        <v>35</v>
      </c>
      <c r="K174" s="43" t="s">
        <v>36</v>
      </c>
      <c r="L174" s="24">
        <v>36</v>
      </c>
      <c r="M174" s="44">
        <v>514080</v>
      </c>
      <c r="N174" s="26">
        <v>15851</v>
      </c>
      <c r="O174" s="27">
        <f t="shared" si="2"/>
        <v>570628.80000000005</v>
      </c>
    </row>
    <row r="175" spans="1:15" ht="12.2" customHeight="1" x14ac:dyDescent="0.25">
      <c r="A175" s="28"/>
      <c r="B175" s="33"/>
      <c r="C175" s="33"/>
      <c r="D175" s="33"/>
      <c r="E175" s="33"/>
      <c r="F175" s="33"/>
      <c r="G175" s="33"/>
      <c r="H175" s="33"/>
      <c r="I175" s="59"/>
      <c r="J175" s="61" t="s">
        <v>37</v>
      </c>
      <c r="K175" s="22" t="s">
        <v>38</v>
      </c>
      <c r="L175" s="44">
        <v>12</v>
      </c>
      <c r="M175" s="24">
        <v>257040</v>
      </c>
      <c r="N175" s="44">
        <v>23776</v>
      </c>
      <c r="O175" s="27">
        <f t="shared" si="2"/>
        <v>285314.40000000002</v>
      </c>
    </row>
    <row r="176" spans="1:15" ht="12.2" customHeight="1" x14ac:dyDescent="0.25">
      <c r="A176" s="28"/>
      <c r="B176" s="33"/>
      <c r="C176" s="33"/>
      <c r="D176" s="34"/>
      <c r="E176" s="34"/>
      <c r="F176" s="34"/>
      <c r="G176" s="34"/>
      <c r="H176" s="34"/>
      <c r="I176" s="36"/>
      <c r="J176" s="22" t="s">
        <v>56</v>
      </c>
      <c r="K176" s="43" t="s">
        <v>57</v>
      </c>
      <c r="L176" s="24">
        <v>12</v>
      </c>
      <c r="M176" s="44">
        <v>184824</v>
      </c>
      <c r="N176" s="26">
        <v>17096</v>
      </c>
      <c r="O176" s="27">
        <f t="shared" si="2"/>
        <v>205154.64</v>
      </c>
    </row>
    <row r="177" spans="1:15" ht="12.2" customHeight="1" x14ac:dyDescent="0.25">
      <c r="A177" s="28"/>
      <c r="B177" s="33"/>
      <c r="C177" s="33"/>
      <c r="D177" s="31" t="s">
        <v>321</v>
      </c>
      <c r="E177" s="31" t="s">
        <v>322</v>
      </c>
      <c r="F177" s="31" t="s">
        <v>323</v>
      </c>
      <c r="G177" s="31" t="s">
        <v>324</v>
      </c>
      <c r="H177" s="31" t="s">
        <v>325</v>
      </c>
      <c r="I177" s="31" t="s">
        <v>326</v>
      </c>
      <c r="J177" s="43" t="s">
        <v>80</v>
      </c>
      <c r="K177" s="22" t="s">
        <v>81</v>
      </c>
      <c r="L177" s="44">
        <v>36</v>
      </c>
      <c r="M177" s="24">
        <v>514080</v>
      </c>
      <c r="N177" s="44">
        <v>15851</v>
      </c>
      <c r="O177" s="27">
        <f t="shared" si="2"/>
        <v>570628.80000000005</v>
      </c>
    </row>
    <row r="178" spans="1:15" ht="12.2" customHeight="1" x14ac:dyDescent="0.25">
      <c r="A178" s="28"/>
      <c r="B178" s="33"/>
      <c r="C178" s="33"/>
      <c r="D178" s="33"/>
      <c r="E178" s="33"/>
      <c r="F178" s="33"/>
      <c r="G178" s="33"/>
      <c r="H178" s="33"/>
      <c r="I178" s="33"/>
      <c r="J178" s="22" t="s">
        <v>82</v>
      </c>
      <c r="K178" s="43" t="s">
        <v>83</v>
      </c>
      <c r="L178" s="24">
        <v>36</v>
      </c>
      <c r="M178" s="44">
        <v>771120</v>
      </c>
      <c r="N178" s="26">
        <v>23776</v>
      </c>
      <c r="O178" s="27">
        <f t="shared" si="2"/>
        <v>855943.20000000007</v>
      </c>
    </row>
    <row r="179" spans="1:15" ht="12.2" customHeight="1" x14ac:dyDescent="0.25">
      <c r="A179" s="28"/>
      <c r="B179" s="33"/>
      <c r="C179" s="33"/>
      <c r="D179" s="33"/>
      <c r="E179" s="33"/>
      <c r="F179" s="33"/>
      <c r="G179" s="33"/>
      <c r="H179" s="33"/>
      <c r="I179" s="33"/>
      <c r="J179" s="43" t="s">
        <v>37</v>
      </c>
      <c r="K179" s="22" t="s">
        <v>38</v>
      </c>
      <c r="L179" s="44">
        <v>36</v>
      </c>
      <c r="M179" s="24">
        <v>771120</v>
      </c>
      <c r="N179" s="44">
        <v>23776</v>
      </c>
      <c r="O179" s="27">
        <f t="shared" si="2"/>
        <v>855943.20000000007</v>
      </c>
    </row>
    <row r="180" spans="1:15" ht="12.2" customHeight="1" x14ac:dyDescent="0.25">
      <c r="A180" s="28"/>
      <c r="B180" s="33"/>
      <c r="C180" s="33"/>
      <c r="D180" s="33"/>
      <c r="E180" s="33"/>
      <c r="F180" s="33"/>
      <c r="G180" s="33"/>
      <c r="H180" s="33"/>
      <c r="I180" s="33"/>
      <c r="J180" s="22" t="s">
        <v>27</v>
      </c>
      <c r="K180" s="43" t="s">
        <v>28</v>
      </c>
      <c r="L180" s="24">
        <v>12</v>
      </c>
      <c r="M180" s="44">
        <v>494496</v>
      </c>
      <c r="N180" s="26">
        <v>45741</v>
      </c>
      <c r="O180" s="27">
        <f t="shared" si="2"/>
        <v>548890.56000000006</v>
      </c>
    </row>
    <row r="181" spans="1:15" ht="12.2" customHeight="1" x14ac:dyDescent="0.25">
      <c r="A181" s="28"/>
      <c r="B181" s="33"/>
      <c r="C181" s="34"/>
      <c r="D181" s="70"/>
      <c r="E181" s="34"/>
      <c r="F181" s="70"/>
      <c r="G181" s="34"/>
      <c r="H181" s="70"/>
      <c r="I181" s="34"/>
      <c r="J181" s="45" t="s">
        <v>144</v>
      </c>
      <c r="K181" s="22" t="s">
        <v>145</v>
      </c>
      <c r="L181" s="46">
        <v>24</v>
      </c>
      <c r="M181" s="24">
        <v>369648</v>
      </c>
      <c r="N181" s="46">
        <v>17096</v>
      </c>
      <c r="O181" s="27">
        <f t="shared" si="2"/>
        <v>410309.28</v>
      </c>
    </row>
    <row r="182" spans="1:15" ht="12.2" customHeight="1" x14ac:dyDescent="0.25">
      <c r="A182" s="28"/>
      <c r="B182" s="33"/>
      <c r="C182" s="30" t="s">
        <v>50</v>
      </c>
      <c r="D182" s="71" t="s">
        <v>327</v>
      </c>
      <c r="E182" s="31" t="s">
        <v>328</v>
      </c>
      <c r="F182" s="71" t="s">
        <v>329</v>
      </c>
      <c r="G182" s="31" t="s">
        <v>330</v>
      </c>
      <c r="H182" s="71" t="s">
        <v>298</v>
      </c>
      <c r="I182" s="31" t="s">
        <v>331</v>
      </c>
      <c r="J182" s="49" t="s">
        <v>179</v>
      </c>
      <c r="K182" s="22" t="s">
        <v>180</v>
      </c>
      <c r="L182" s="50">
        <v>12</v>
      </c>
      <c r="M182" s="53">
        <v>75888</v>
      </c>
      <c r="N182" s="50">
        <v>7020</v>
      </c>
      <c r="O182" s="27">
        <f t="shared" si="2"/>
        <v>84235.680000000008</v>
      </c>
    </row>
    <row r="183" spans="1:15" ht="12.2" customHeight="1" x14ac:dyDescent="0.25">
      <c r="A183" s="28"/>
      <c r="B183" s="33"/>
      <c r="C183" s="33"/>
      <c r="D183" s="33"/>
      <c r="E183" s="33"/>
      <c r="F183" s="33"/>
      <c r="G183" s="33"/>
      <c r="H183" s="33"/>
      <c r="I183" s="33"/>
      <c r="J183" s="42" t="s">
        <v>181</v>
      </c>
      <c r="K183" s="43" t="s">
        <v>182</v>
      </c>
      <c r="L183" s="24">
        <v>12</v>
      </c>
      <c r="M183" s="44">
        <v>75888</v>
      </c>
      <c r="N183" s="26">
        <v>7020</v>
      </c>
      <c r="O183" s="27">
        <f t="shared" si="2"/>
        <v>84235.680000000008</v>
      </c>
    </row>
    <row r="184" spans="1:15" ht="12.2" customHeight="1" x14ac:dyDescent="0.25">
      <c r="A184" s="28"/>
      <c r="B184" s="33"/>
      <c r="C184" s="33"/>
      <c r="D184" s="33"/>
      <c r="E184" s="33"/>
      <c r="F184" s="33"/>
      <c r="G184" s="33"/>
      <c r="H184" s="33"/>
      <c r="I184" s="33"/>
      <c r="J184" s="43" t="s">
        <v>183</v>
      </c>
      <c r="K184" s="22" t="s">
        <v>184</v>
      </c>
      <c r="L184" s="44">
        <v>12</v>
      </c>
      <c r="M184" s="24">
        <v>75888</v>
      </c>
      <c r="N184" s="44">
        <v>7020</v>
      </c>
      <c r="O184" s="27">
        <f t="shared" si="2"/>
        <v>84235.680000000008</v>
      </c>
    </row>
    <row r="185" spans="1:15" ht="12.2" customHeight="1" x14ac:dyDescent="0.25">
      <c r="A185" s="28"/>
      <c r="B185" s="33"/>
      <c r="C185" s="33"/>
      <c r="D185" s="33"/>
      <c r="E185" s="33"/>
      <c r="F185" s="33"/>
      <c r="G185" s="33"/>
      <c r="H185" s="33"/>
      <c r="I185" s="33"/>
      <c r="J185" s="42" t="s">
        <v>332</v>
      </c>
      <c r="K185" s="43" t="s">
        <v>333</v>
      </c>
      <c r="L185" s="24">
        <v>3</v>
      </c>
      <c r="M185" s="44">
        <v>88128</v>
      </c>
      <c r="N185" s="26">
        <v>32607</v>
      </c>
      <c r="O185" s="27">
        <f t="shared" si="2"/>
        <v>97822.080000000002</v>
      </c>
    </row>
    <row r="186" spans="1:15" ht="12.2" customHeight="1" x14ac:dyDescent="0.25">
      <c r="A186" s="28"/>
      <c r="B186" s="33"/>
      <c r="C186" s="33"/>
      <c r="D186" s="33"/>
      <c r="E186" s="33"/>
      <c r="F186" s="33"/>
      <c r="G186" s="33"/>
      <c r="H186" s="33"/>
      <c r="I186" s="33"/>
      <c r="J186" s="43" t="s">
        <v>142</v>
      </c>
      <c r="K186" s="22" t="s">
        <v>143</v>
      </c>
      <c r="L186" s="44">
        <v>3</v>
      </c>
      <c r="M186" s="24">
        <v>88128</v>
      </c>
      <c r="N186" s="44">
        <v>32607</v>
      </c>
      <c r="O186" s="27">
        <f t="shared" si="2"/>
        <v>97822.080000000002</v>
      </c>
    </row>
    <row r="187" spans="1:15" ht="12.2" customHeight="1" x14ac:dyDescent="0.25">
      <c r="A187" s="28"/>
      <c r="B187" s="33"/>
      <c r="C187" s="34"/>
      <c r="D187" s="34"/>
      <c r="E187" s="34"/>
      <c r="F187" s="34"/>
      <c r="G187" s="34"/>
      <c r="H187" s="34"/>
      <c r="I187" s="34"/>
      <c r="J187" s="42" t="s">
        <v>66</v>
      </c>
      <c r="K187" s="45" t="s">
        <v>67</v>
      </c>
      <c r="L187" s="24">
        <v>3</v>
      </c>
      <c r="M187" s="46">
        <v>88128</v>
      </c>
      <c r="N187" s="26">
        <v>32607</v>
      </c>
      <c r="O187" s="27">
        <f t="shared" si="2"/>
        <v>97822.080000000002</v>
      </c>
    </row>
    <row r="188" spans="1:15" ht="12.2" customHeight="1" x14ac:dyDescent="0.25">
      <c r="A188" s="28"/>
      <c r="B188" s="33"/>
      <c r="C188" s="72" t="s">
        <v>84</v>
      </c>
      <c r="D188" s="22" t="s">
        <v>334</v>
      </c>
      <c r="E188" s="45" t="s">
        <v>335</v>
      </c>
      <c r="F188" s="22" t="s">
        <v>336</v>
      </c>
      <c r="G188" s="45" t="s">
        <v>337</v>
      </c>
      <c r="H188" s="22" t="s">
        <v>338</v>
      </c>
      <c r="I188" s="45" t="s">
        <v>26</v>
      </c>
      <c r="J188" s="22" t="s">
        <v>35</v>
      </c>
      <c r="K188" s="73" t="s">
        <v>36</v>
      </c>
      <c r="L188" s="24">
        <v>72</v>
      </c>
      <c r="M188" s="74">
        <v>1028161</v>
      </c>
      <c r="N188" s="26">
        <v>15851</v>
      </c>
      <c r="O188" s="27">
        <f t="shared" si="2"/>
        <v>1141258.7100000002</v>
      </c>
    </row>
    <row r="189" spans="1:15" ht="12.2" customHeight="1" x14ac:dyDescent="0.25">
      <c r="A189" s="28"/>
      <c r="B189" s="33"/>
      <c r="C189" s="30" t="s">
        <v>224</v>
      </c>
      <c r="D189" s="31" t="s">
        <v>339</v>
      </c>
      <c r="E189" s="31" t="s">
        <v>340</v>
      </c>
      <c r="F189" s="31" t="s">
        <v>341</v>
      </c>
      <c r="G189" s="31" t="s">
        <v>342</v>
      </c>
      <c r="H189" s="31" t="s">
        <v>343</v>
      </c>
      <c r="I189" s="31" t="s">
        <v>97</v>
      </c>
      <c r="J189" s="22" t="s">
        <v>70</v>
      </c>
      <c r="K189" s="49" t="s">
        <v>71</v>
      </c>
      <c r="L189" s="24">
        <v>24</v>
      </c>
      <c r="M189" s="50">
        <v>425952</v>
      </c>
      <c r="N189" s="26">
        <v>19700</v>
      </c>
      <c r="O189" s="27">
        <f t="shared" si="2"/>
        <v>472806.72000000003</v>
      </c>
    </row>
    <row r="190" spans="1:15" ht="12.2" customHeight="1" x14ac:dyDescent="0.25">
      <c r="A190" s="28"/>
      <c r="B190" s="33"/>
      <c r="C190" s="33"/>
      <c r="D190" s="33"/>
      <c r="E190" s="33"/>
      <c r="F190" s="33"/>
      <c r="G190" s="33"/>
      <c r="H190" s="33"/>
      <c r="I190" s="33"/>
      <c r="J190" s="47" t="s">
        <v>72</v>
      </c>
      <c r="K190" s="22" t="s">
        <v>73</v>
      </c>
      <c r="L190" s="44">
        <v>24</v>
      </c>
      <c r="M190" s="24">
        <v>425952</v>
      </c>
      <c r="N190" s="44">
        <v>19700</v>
      </c>
      <c r="O190" s="27">
        <f t="shared" si="2"/>
        <v>472806.72000000003</v>
      </c>
    </row>
    <row r="191" spans="1:15" ht="12.2" customHeight="1" x14ac:dyDescent="0.25">
      <c r="A191" s="28"/>
      <c r="B191" s="33"/>
      <c r="C191" s="33"/>
      <c r="D191" s="33"/>
      <c r="E191" s="33"/>
      <c r="F191" s="33"/>
      <c r="G191" s="33"/>
      <c r="H191" s="33"/>
      <c r="I191" s="33"/>
      <c r="J191" s="22" t="s">
        <v>76</v>
      </c>
      <c r="K191" s="43" t="s">
        <v>77</v>
      </c>
      <c r="L191" s="24">
        <v>24</v>
      </c>
      <c r="M191" s="44">
        <v>425952</v>
      </c>
      <c r="N191" s="26">
        <v>19700</v>
      </c>
      <c r="O191" s="27">
        <f t="shared" si="2"/>
        <v>472806.72000000003</v>
      </c>
    </row>
    <row r="192" spans="1:15" ht="12.2" customHeight="1" x14ac:dyDescent="0.25">
      <c r="A192" s="28"/>
      <c r="B192" s="33"/>
      <c r="C192" s="33"/>
      <c r="D192" s="34"/>
      <c r="E192" s="70"/>
      <c r="F192" s="34"/>
      <c r="G192" s="70"/>
      <c r="H192" s="34"/>
      <c r="I192" s="70"/>
      <c r="J192" s="47" t="s">
        <v>78</v>
      </c>
      <c r="K192" s="22" t="s">
        <v>79</v>
      </c>
      <c r="L192" s="44">
        <v>24</v>
      </c>
      <c r="M192" s="24">
        <v>425952</v>
      </c>
      <c r="N192" s="44">
        <v>19700</v>
      </c>
      <c r="O192" s="27">
        <f t="shared" si="2"/>
        <v>472806.72000000003</v>
      </c>
    </row>
    <row r="193" spans="1:15" ht="12.2" customHeight="1" x14ac:dyDescent="0.25">
      <c r="A193" s="28"/>
      <c r="B193" s="33"/>
      <c r="C193" s="33"/>
      <c r="D193" s="31" t="s">
        <v>344</v>
      </c>
      <c r="E193" s="71" t="s">
        <v>345</v>
      </c>
      <c r="F193" s="31" t="s">
        <v>302</v>
      </c>
      <c r="G193" s="71" t="s">
        <v>346</v>
      </c>
      <c r="H193" s="31" t="s">
        <v>62</v>
      </c>
      <c r="I193" s="71" t="s">
        <v>305</v>
      </c>
      <c r="J193" s="22" t="s">
        <v>134</v>
      </c>
      <c r="K193" s="43" t="s">
        <v>135</v>
      </c>
      <c r="L193" s="24">
        <v>6</v>
      </c>
      <c r="M193" s="44">
        <v>127749</v>
      </c>
      <c r="N193" s="26">
        <v>24116</v>
      </c>
      <c r="O193" s="27">
        <f t="shared" si="2"/>
        <v>141801.39000000001</v>
      </c>
    </row>
    <row r="194" spans="1:15" ht="12.2" customHeight="1" x14ac:dyDescent="0.25">
      <c r="A194" s="28"/>
      <c r="B194" s="33"/>
      <c r="C194" s="33"/>
      <c r="D194" s="33"/>
      <c r="E194" s="33"/>
      <c r="F194" s="33"/>
      <c r="G194" s="33"/>
      <c r="H194" s="33"/>
      <c r="I194" s="33"/>
      <c r="J194" s="41" t="s">
        <v>152</v>
      </c>
      <c r="K194" s="22" t="s">
        <v>153</v>
      </c>
      <c r="L194" s="25">
        <v>12</v>
      </c>
      <c r="M194" s="24">
        <v>141543</v>
      </c>
      <c r="N194" s="25">
        <v>13360</v>
      </c>
      <c r="O194" s="27">
        <f t="shared" si="2"/>
        <v>157112.73000000001</v>
      </c>
    </row>
    <row r="195" spans="1:15" ht="12.2" customHeight="1" x14ac:dyDescent="0.25">
      <c r="A195" s="28"/>
      <c r="B195" s="33"/>
      <c r="C195" s="33"/>
      <c r="D195" s="33"/>
      <c r="E195" s="33"/>
      <c r="F195" s="33"/>
      <c r="G195" s="33"/>
      <c r="H195" s="33"/>
      <c r="I195" s="33"/>
      <c r="J195" s="22" t="s">
        <v>332</v>
      </c>
      <c r="K195" s="23" t="s">
        <v>333</v>
      </c>
      <c r="L195" s="24">
        <v>24</v>
      </c>
      <c r="M195" s="25">
        <v>690924</v>
      </c>
      <c r="N195" s="26">
        <v>32607</v>
      </c>
      <c r="O195" s="27">
        <f t="shared" si="2"/>
        <v>766925.64</v>
      </c>
    </row>
    <row r="196" spans="1:15" ht="12.2" customHeight="1" x14ac:dyDescent="0.25">
      <c r="A196" s="28"/>
      <c r="B196" s="33"/>
      <c r="C196" s="33"/>
      <c r="D196" s="33"/>
      <c r="E196" s="33"/>
      <c r="F196" s="33"/>
      <c r="G196" s="33"/>
      <c r="H196" s="33"/>
      <c r="I196" s="33"/>
      <c r="J196" s="41" t="s">
        <v>64</v>
      </c>
      <c r="K196" s="22" t="s">
        <v>65</v>
      </c>
      <c r="L196" s="25">
        <v>24</v>
      </c>
      <c r="M196" s="24">
        <v>690924</v>
      </c>
      <c r="N196" s="25">
        <v>32607</v>
      </c>
      <c r="O196" s="27">
        <f t="shared" si="2"/>
        <v>766925.64</v>
      </c>
    </row>
    <row r="197" spans="1:15" ht="12.2" customHeight="1" x14ac:dyDescent="0.25">
      <c r="A197" s="28"/>
      <c r="B197" s="33"/>
      <c r="C197" s="33"/>
      <c r="D197" s="33"/>
      <c r="E197" s="33"/>
      <c r="F197" s="33"/>
      <c r="G197" s="33"/>
      <c r="H197" s="33"/>
      <c r="I197" s="33"/>
      <c r="J197" s="22" t="s">
        <v>142</v>
      </c>
      <c r="K197" s="23" t="s">
        <v>143</v>
      </c>
      <c r="L197" s="24">
        <v>24</v>
      </c>
      <c r="M197" s="25">
        <v>690924</v>
      </c>
      <c r="N197" s="26">
        <v>32607</v>
      </c>
      <c r="O197" s="27">
        <f t="shared" si="2"/>
        <v>766925.64</v>
      </c>
    </row>
    <row r="198" spans="1:15" ht="12.2" customHeight="1" x14ac:dyDescent="0.25">
      <c r="A198" s="28"/>
      <c r="B198" s="33"/>
      <c r="C198" s="33"/>
      <c r="D198" s="33"/>
      <c r="E198" s="33"/>
      <c r="F198" s="33"/>
      <c r="G198" s="33"/>
      <c r="H198" s="33"/>
      <c r="I198" s="33"/>
      <c r="J198" s="41" t="s">
        <v>66</v>
      </c>
      <c r="K198" s="22" t="s">
        <v>67</v>
      </c>
      <c r="L198" s="25">
        <v>24</v>
      </c>
      <c r="M198" s="24">
        <v>690924</v>
      </c>
      <c r="N198" s="25">
        <v>32607</v>
      </c>
      <c r="O198" s="27">
        <f t="shared" si="2"/>
        <v>766925.64</v>
      </c>
    </row>
    <row r="199" spans="1:15" ht="12.2" customHeight="1" x14ac:dyDescent="0.25">
      <c r="A199" s="28"/>
      <c r="B199" s="33"/>
      <c r="C199" s="33"/>
      <c r="D199" s="33"/>
      <c r="E199" s="33"/>
      <c r="F199" s="33"/>
      <c r="G199" s="33"/>
      <c r="H199" s="33"/>
      <c r="I199" s="33"/>
      <c r="J199" s="22" t="s">
        <v>68</v>
      </c>
      <c r="K199" s="23" t="s">
        <v>69</v>
      </c>
      <c r="L199" s="24">
        <v>24</v>
      </c>
      <c r="M199" s="25">
        <v>690924</v>
      </c>
      <c r="N199" s="26">
        <v>32607</v>
      </c>
      <c r="O199" s="27">
        <f t="shared" ref="O199:O262" si="3">M199*1.11</f>
        <v>766925.64</v>
      </c>
    </row>
    <row r="200" spans="1:15" ht="12.2" customHeight="1" x14ac:dyDescent="0.25">
      <c r="A200" s="28"/>
      <c r="B200" s="33"/>
      <c r="C200" s="33"/>
      <c r="D200" s="33"/>
      <c r="E200" s="33"/>
      <c r="F200" s="33"/>
      <c r="G200" s="33"/>
      <c r="H200" s="33"/>
      <c r="I200" s="33"/>
      <c r="J200" s="41" t="s">
        <v>70</v>
      </c>
      <c r="K200" s="22" t="s">
        <v>71</v>
      </c>
      <c r="L200" s="25">
        <v>24</v>
      </c>
      <c r="M200" s="24">
        <v>417433</v>
      </c>
      <c r="N200" s="25">
        <v>19700</v>
      </c>
      <c r="O200" s="27">
        <f t="shared" si="3"/>
        <v>463350.63000000006</v>
      </c>
    </row>
    <row r="201" spans="1:15" ht="12.2" customHeight="1" x14ac:dyDescent="0.25">
      <c r="A201" s="28"/>
      <c r="B201" s="33"/>
      <c r="C201" s="33"/>
      <c r="D201" s="33"/>
      <c r="E201" s="33"/>
      <c r="F201" s="33"/>
      <c r="G201" s="33"/>
      <c r="H201" s="33"/>
      <c r="I201" s="33"/>
      <c r="J201" s="22" t="s">
        <v>72</v>
      </c>
      <c r="K201" s="23" t="s">
        <v>73</v>
      </c>
      <c r="L201" s="24">
        <v>24</v>
      </c>
      <c r="M201" s="25">
        <v>417433</v>
      </c>
      <c r="N201" s="26">
        <v>19700</v>
      </c>
      <c r="O201" s="27">
        <f t="shared" si="3"/>
        <v>463350.63000000006</v>
      </c>
    </row>
    <row r="202" spans="1:15" ht="12.2" customHeight="1" x14ac:dyDescent="0.25">
      <c r="A202" s="28"/>
      <c r="B202" s="33"/>
      <c r="C202" s="33"/>
      <c r="D202" s="33"/>
      <c r="E202" s="33"/>
      <c r="F202" s="33"/>
      <c r="G202" s="33"/>
      <c r="H202" s="33"/>
      <c r="I202" s="33"/>
      <c r="J202" s="41" t="s">
        <v>74</v>
      </c>
      <c r="K202" s="22" t="s">
        <v>75</v>
      </c>
      <c r="L202" s="25">
        <v>24</v>
      </c>
      <c r="M202" s="24">
        <v>417433</v>
      </c>
      <c r="N202" s="25">
        <v>19700</v>
      </c>
      <c r="O202" s="27">
        <f t="shared" si="3"/>
        <v>463350.63000000006</v>
      </c>
    </row>
    <row r="203" spans="1:15" ht="12.2" customHeight="1" x14ac:dyDescent="0.25">
      <c r="A203" s="28"/>
      <c r="B203" s="33"/>
      <c r="C203" s="33"/>
      <c r="D203" s="33"/>
      <c r="E203" s="33"/>
      <c r="F203" s="33"/>
      <c r="G203" s="33"/>
      <c r="H203" s="33"/>
      <c r="I203" s="33"/>
      <c r="J203" s="22" t="s">
        <v>76</v>
      </c>
      <c r="K203" s="23" t="s">
        <v>77</v>
      </c>
      <c r="L203" s="24">
        <v>24</v>
      </c>
      <c r="M203" s="25">
        <v>417433</v>
      </c>
      <c r="N203" s="26">
        <v>19700</v>
      </c>
      <c r="O203" s="27">
        <f t="shared" si="3"/>
        <v>463350.63000000006</v>
      </c>
    </row>
    <row r="204" spans="1:15" ht="12.2" customHeight="1" x14ac:dyDescent="0.25">
      <c r="A204" s="28"/>
      <c r="B204" s="33"/>
      <c r="C204" s="33"/>
      <c r="D204" s="33"/>
      <c r="E204" s="33"/>
      <c r="F204" s="33"/>
      <c r="G204" s="33"/>
      <c r="H204" s="33"/>
      <c r="I204" s="33"/>
      <c r="J204" s="41" t="s">
        <v>78</v>
      </c>
      <c r="K204" s="22" t="s">
        <v>79</v>
      </c>
      <c r="L204" s="25">
        <v>24</v>
      </c>
      <c r="M204" s="24">
        <v>417433</v>
      </c>
      <c r="N204" s="25">
        <v>19700</v>
      </c>
      <c r="O204" s="27">
        <f t="shared" si="3"/>
        <v>463350.63000000006</v>
      </c>
    </row>
    <row r="205" spans="1:15" ht="12.2" customHeight="1" x14ac:dyDescent="0.25">
      <c r="A205" s="28"/>
      <c r="B205" s="33"/>
      <c r="C205" s="33"/>
      <c r="D205" s="33"/>
      <c r="E205" s="33"/>
      <c r="F205" s="33"/>
      <c r="G205" s="33"/>
      <c r="H205" s="33"/>
      <c r="I205" s="33"/>
      <c r="J205" s="22" t="s">
        <v>104</v>
      </c>
      <c r="K205" s="23" t="s">
        <v>105</v>
      </c>
      <c r="L205" s="24">
        <v>60</v>
      </c>
      <c r="M205" s="25">
        <v>2423031</v>
      </c>
      <c r="N205" s="26">
        <v>45741</v>
      </c>
      <c r="O205" s="27">
        <f t="shared" si="3"/>
        <v>2689564.41</v>
      </c>
    </row>
    <row r="206" spans="1:15" ht="12.2" customHeight="1" x14ac:dyDescent="0.25">
      <c r="A206" s="28"/>
      <c r="B206" s="33"/>
      <c r="C206" s="33"/>
      <c r="D206" s="34"/>
      <c r="E206" s="34"/>
      <c r="F206" s="34"/>
      <c r="G206" s="34"/>
      <c r="H206" s="34"/>
      <c r="I206" s="34"/>
      <c r="J206" s="41" t="s">
        <v>56</v>
      </c>
      <c r="K206" s="22" t="s">
        <v>57</v>
      </c>
      <c r="L206" s="25">
        <v>180</v>
      </c>
      <c r="M206" s="24">
        <v>2716913</v>
      </c>
      <c r="N206" s="25">
        <v>17096</v>
      </c>
      <c r="O206" s="27">
        <f t="shared" si="3"/>
        <v>3015773.43</v>
      </c>
    </row>
    <row r="207" spans="1:15" ht="12.2" customHeight="1" x14ac:dyDescent="0.25">
      <c r="A207" s="28"/>
      <c r="B207" s="33"/>
      <c r="C207" s="33"/>
      <c r="D207" s="31" t="s">
        <v>347</v>
      </c>
      <c r="E207" s="31" t="s">
        <v>348</v>
      </c>
      <c r="F207" s="31" t="s">
        <v>302</v>
      </c>
      <c r="G207" s="31" t="s">
        <v>349</v>
      </c>
      <c r="H207" s="31" t="s">
        <v>62</v>
      </c>
      <c r="I207" s="31" t="s">
        <v>305</v>
      </c>
      <c r="J207" s="22" t="s">
        <v>152</v>
      </c>
      <c r="K207" s="23" t="s">
        <v>153</v>
      </c>
      <c r="L207" s="24">
        <v>6</v>
      </c>
      <c r="M207" s="25">
        <v>70772</v>
      </c>
      <c r="N207" s="26">
        <v>13360</v>
      </c>
      <c r="O207" s="27">
        <f t="shared" si="3"/>
        <v>78556.920000000013</v>
      </c>
    </row>
    <row r="208" spans="1:15" ht="12.2" customHeight="1" x14ac:dyDescent="0.25">
      <c r="A208" s="28"/>
      <c r="B208" s="33"/>
      <c r="C208" s="33"/>
      <c r="D208" s="33"/>
      <c r="E208" s="33"/>
      <c r="F208" s="33"/>
      <c r="G208" s="33"/>
      <c r="H208" s="33"/>
      <c r="I208" s="33"/>
      <c r="J208" s="41" t="s">
        <v>332</v>
      </c>
      <c r="K208" s="22" t="s">
        <v>333</v>
      </c>
      <c r="L208" s="25">
        <v>24</v>
      </c>
      <c r="M208" s="24">
        <v>690924</v>
      </c>
      <c r="N208" s="25">
        <v>32607</v>
      </c>
      <c r="O208" s="27">
        <f t="shared" si="3"/>
        <v>766925.64</v>
      </c>
    </row>
    <row r="209" spans="1:15" ht="12.2" customHeight="1" x14ac:dyDescent="0.25">
      <c r="A209" s="28"/>
      <c r="B209" s="33"/>
      <c r="C209" s="33"/>
      <c r="D209" s="33"/>
      <c r="E209" s="33"/>
      <c r="F209" s="33"/>
      <c r="G209" s="33"/>
      <c r="H209" s="33"/>
      <c r="I209" s="33"/>
      <c r="J209" s="22" t="s">
        <v>64</v>
      </c>
      <c r="K209" s="23" t="s">
        <v>65</v>
      </c>
      <c r="L209" s="24">
        <v>24</v>
      </c>
      <c r="M209" s="25">
        <v>690924</v>
      </c>
      <c r="N209" s="26">
        <v>32607</v>
      </c>
      <c r="O209" s="27">
        <f t="shared" si="3"/>
        <v>766925.64</v>
      </c>
    </row>
    <row r="210" spans="1:15" ht="12.2" customHeight="1" x14ac:dyDescent="0.25">
      <c r="A210" s="28"/>
      <c r="B210" s="33"/>
      <c r="C210" s="33"/>
      <c r="D210" s="33"/>
      <c r="E210" s="33"/>
      <c r="F210" s="33"/>
      <c r="G210" s="33"/>
      <c r="H210" s="33"/>
      <c r="I210" s="33"/>
      <c r="J210" s="41" t="s">
        <v>142</v>
      </c>
      <c r="K210" s="22" t="s">
        <v>143</v>
      </c>
      <c r="L210" s="25">
        <v>24</v>
      </c>
      <c r="M210" s="24">
        <v>690924</v>
      </c>
      <c r="N210" s="25">
        <v>32607</v>
      </c>
      <c r="O210" s="27">
        <f t="shared" si="3"/>
        <v>766925.64</v>
      </c>
    </row>
    <row r="211" spans="1:15" ht="12.2" customHeight="1" x14ac:dyDescent="0.25">
      <c r="A211" s="28"/>
      <c r="B211" s="33"/>
      <c r="C211" s="33"/>
      <c r="D211" s="33"/>
      <c r="E211" s="33"/>
      <c r="F211" s="33"/>
      <c r="G211" s="33"/>
      <c r="H211" s="33"/>
      <c r="I211" s="33"/>
      <c r="J211" s="22" t="s">
        <v>66</v>
      </c>
      <c r="K211" s="23" t="s">
        <v>67</v>
      </c>
      <c r="L211" s="24">
        <v>24</v>
      </c>
      <c r="M211" s="25">
        <v>690924</v>
      </c>
      <c r="N211" s="26">
        <v>32607</v>
      </c>
      <c r="O211" s="27">
        <f t="shared" si="3"/>
        <v>766925.64</v>
      </c>
    </row>
    <row r="212" spans="1:15" ht="12.2" customHeight="1" x14ac:dyDescent="0.25">
      <c r="A212" s="28"/>
      <c r="B212" s="33"/>
      <c r="C212" s="33"/>
      <c r="D212" s="33"/>
      <c r="E212" s="33"/>
      <c r="F212" s="33"/>
      <c r="G212" s="33"/>
      <c r="H212" s="33"/>
      <c r="I212" s="33"/>
      <c r="J212" s="41" t="s">
        <v>68</v>
      </c>
      <c r="K212" s="22" t="s">
        <v>69</v>
      </c>
      <c r="L212" s="25">
        <v>24</v>
      </c>
      <c r="M212" s="24">
        <v>690924</v>
      </c>
      <c r="N212" s="25">
        <v>32607</v>
      </c>
      <c r="O212" s="27">
        <f t="shared" si="3"/>
        <v>766925.64</v>
      </c>
    </row>
    <row r="213" spans="1:15" ht="12.2" customHeight="1" x14ac:dyDescent="0.25">
      <c r="A213" s="28"/>
      <c r="B213" s="33"/>
      <c r="C213" s="33"/>
      <c r="D213" s="33"/>
      <c r="E213" s="33"/>
      <c r="F213" s="33"/>
      <c r="G213" s="33"/>
      <c r="H213" s="33"/>
      <c r="I213" s="33"/>
      <c r="J213" s="22" t="s">
        <v>70</v>
      </c>
      <c r="K213" s="23" t="s">
        <v>71</v>
      </c>
      <c r="L213" s="24">
        <v>24</v>
      </c>
      <c r="M213" s="25">
        <v>417433</v>
      </c>
      <c r="N213" s="26">
        <v>19700</v>
      </c>
      <c r="O213" s="27">
        <f t="shared" si="3"/>
        <v>463350.63000000006</v>
      </c>
    </row>
    <row r="214" spans="1:15" ht="12.2" customHeight="1" x14ac:dyDescent="0.25">
      <c r="A214" s="28"/>
      <c r="B214" s="33"/>
      <c r="C214" s="33"/>
      <c r="D214" s="33"/>
      <c r="E214" s="33"/>
      <c r="F214" s="33"/>
      <c r="G214" s="33"/>
      <c r="H214" s="33"/>
      <c r="I214" s="33"/>
      <c r="J214" s="41" t="s">
        <v>72</v>
      </c>
      <c r="K214" s="22" t="s">
        <v>73</v>
      </c>
      <c r="L214" s="25">
        <v>24</v>
      </c>
      <c r="M214" s="24">
        <v>417433</v>
      </c>
      <c r="N214" s="25">
        <v>19700</v>
      </c>
      <c r="O214" s="27">
        <f t="shared" si="3"/>
        <v>463350.63000000006</v>
      </c>
    </row>
    <row r="215" spans="1:15" ht="12.2" customHeight="1" x14ac:dyDescent="0.25">
      <c r="A215" s="28"/>
      <c r="B215" s="33"/>
      <c r="C215" s="34"/>
      <c r="D215" s="34"/>
      <c r="E215" s="34"/>
      <c r="F215" s="34"/>
      <c r="G215" s="34"/>
      <c r="H215" s="34"/>
      <c r="I215" s="34"/>
      <c r="J215" s="22" t="s">
        <v>74</v>
      </c>
      <c r="K215" s="38" t="s">
        <v>75</v>
      </c>
      <c r="L215" s="24">
        <v>24</v>
      </c>
      <c r="M215" s="39">
        <v>417433</v>
      </c>
      <c r="N215" s="26">
        <v>19700</v>
      </c>
      <c r="O215" s="27">
        <f t="shared" si="3"/>
        <v>463350.63000000006</v>
      </c>
    </row>
    <row r="216" spans="1:15" ht="12.2" customHeight="1" x14ac:dyDescent="0.25">
      <c r="A216" s="28"/>
      <c r="B216" s="33"/>
      <c r="C216" s="30" t="s">
        <v>350</v>
      </c>
      <c r="D216" s="31" t="s">
        <v>351</v>
      </c>
      <c r="E216" s="31" t="s">
        <v>352</v>
      </c>
      <c r="F216" s="31" t="s">
        <v>353</v>
      </c>
      <c r="G216" s="31" t="s">
        <v>354</v>
      </c>
      <c r="H216" s="31" t="s">
        <v>354</v>
      </c>
      <c r="I216" s="31" t="s">
        <v>355</v>
      </c>
      <c r="J216" s="22" t="s">
        <v>98</v>
      </c>
      <c r="K216" s="23" t="s">
        <v>99</v>
      </c>
      <c r="L216" s="24">
        <v>6</v>
      </c>
      <c r="M216" s="25">
        <v>15300</v>
      </c>
      <c r="N216" s="26">
        <v>2831</v>
      </c>
      <c r="O216" s="27">
        <f t="shared" si="3"/>
        <v>16983</v>
      </c>
    </row>
    <row r="217" spans="1:15" ht="12.2" customHeight="1" x14ac:dyDescent="0.25">
      <c r="A217" s="28"/>
      <c r="B217" s="33"/>
      <c r="C217" s="33"/>
      <c r="D217" s="33"/>
      <c r="E217" s="33"/>
      <c r="F217" s="33"/>
      <c r="G217" s="33"/>
      <c r="H217" s="33"/>
      <c r="I217" s="33"/>
      <c r="J217" s="41" t="s">
        <v>100</v>
      </c>
      <c r="K217" s="22" t="s">
        <v>101</v>
      </c>
      <c r="L217" s="25">
        <v>6</v>
      </c>
      <c r="M217" s="24">
        <v>15300</v>
      </c>
      <c r="N217" s="25">
        <v>2831</v>
      </c>
      <c r="O217" s="27">
        <f t="shared" si="3"/>
        <v>16983</v>
      </c>
    </row>
    <row r="218" spans="1:15" ht="12.2" customHeight="1" x14ac:dyDescent="0.25">
      <c r="A218" s="28"/>
      <c r="B218" s="33"/>
      <c r="C218" s="33"/>
      <c r="D218" s="33"/>
      <c r="E218" s="33"/>
      <c r="F218" s="33"/>
      <c r="G218" s="33"/>
      <c r="H218" s="33"/>
      <c r="I218" s="33"/>
      <c r="J218" s="22" t="s">
        <v>102</v>
      </c>
      <c r="K218" s="23" t="s">
        <v>103</v>
      </c>
      <c r="L218" s="24">
        <v>6</v>
      </c>
      <c r="M218" s="25">
        <v>15300</v>
      </c>
      <c r="N218" s="26">
        <v>2831</v>
      </c>
      <c r="O218" s="27">
        <f t="shared" si="3"/>
        <v>16983</v>
      </c>
    </row>
    <row r="219" spans="1:15" ht="12.2" customHeight="1" x14ac:dyDescent="0.25">
      <c r="A219" s="28"/>
      <c r="B219" s="33"/>
      <c r="C219" s="33"/>
      <c r="D219" s="33"/>
      <c r="E219" s="33"/>
      <c r="F219" s="33"/>
      <c r="G219" s="33"/>
      <c r="H219" s="33"/>
      <c r="I219" s="33"/>
      <c r="J219" s="41" t="s">
        <v>80</v>
      </c>
      <c r="K219" s="22" t="s">
        <v>81</v>
      </c>
      <c r="L219" s="25">
        <v>12</v>
      </c>
      <c r="M219" s="24">
        <v>171360</v>
      </c>
      <c r="N219" s="25">
        <v>15851</v>
      </c>
      <c r="O219" s="27">
        <f t="shared" si="3"/>
        <v>190209.6</v>
      </c>
    </row>
    <row r="220" spans="1:15" ht="12.2" customHeight="1" x14ac:dyDescent="0.25">
      <c r="A220" s="28"/>
      <c r="B220" s="33"/>
      <c r="C220" s="33"/>
      <c r="D220" s="33"/>
      <c r="E220" s="33"/>
      <c r="F220" s="33"/>
      <c r="G220" s="33"/>
      <c r="H220" s="33"/>
      <c r="I220" s="33"/>
      <c r="J220" s="22" t="s">
        <v>35</v>
      </c>
      <c r="K220" s="23" t="s">
        <v>36</v>
      </c>
      <c r="L220" s="24">
        <v>12</v>
      </c>
      <c r="M220" s="25">
        <v>171360</v>
      </c>
      <c r="N220" s="26">
        <v>15851</v>
      </c>
      <c r="O220" s="27">
        <f t="shared" si="3"/>
        <v>190209.6</v>
      </c>
    </row>
    <row r="221" spans="1:15" ht="12.2" customHeight="1" x14ac:dyDescent="0.25">
      <c r="A221" s="28"/>
      <c r="B221" s="33"/>
      <c r="C221" s="33"/>
      <c r="D221" s="33"/>
      <c r="E221" s="33"/>
      <c r="F221" s="33"/>
      <c r="G221" s="33"/>
      <c r="H221" s="33"/>
      <c r="I221" s="33"/>
      <c r="J221" s="41" t="s">
        <v>82</v>
      </c>
      <c r="K221" s="22" t="s">
        <v>83</v>
      </c>
      <c r="L221" s="25">
        <v>12</v>
      </c>
      <c r="M221" s="24">
        <v>257040</v>
      </c>
      <c r="N221" s="25">
        <v>23776</v>
      </c>
      <c r="O221" s="27">
        <f t="shared" si="3"/>
        <v>285314.40000000002</v>
      </c>
    </row>
    <row r="222" spans="1:15" ht="12.2" customHeight="1" x14ac:dyDescent="0.25">
      <c r="A222" s="28"/>
      <c r="B222" s="33"/>
      <c r="C222" s="33"/>
      <c r="D222" s="33"/>
      <c r="E222" s="33"/>
      <c r="F222" s="33"/>
      <c r="G222" s="33"/>
      <c r="H222" s="33"/>
      <c r="I222" s="33"/>
      <c r="J222" s="22" t="s">
        <v>37</v>
      </c>
      <c r="K222" s="23" t="s">
        <v>38</v>
      </c>
      <c r="L222" s="24">
        <v>12</v>
      </c>
      <c r="M222" s="44">
        <v>257040</v>
      </c>
      <c r="N222" s="26">
        <v>23776</v>
      </c>
      <c r="O222" s="27">
        <f t="shared" si="3"/>
        <v>285314.40000000002</v>
      </c>
    </row>
    <row r="223" spans="1:15" ht="12.2" customHeight="1" x14ac:dyDescent="0.25">
      <c r="A223" s="28"/>
      <c r="B223" s="33"/>
      <c r="C223" s="33"/>
      <c r="D223" s="33"/>
      <c r="E223" s="33"/>
      <c r="F223" s="33"/>
      <c r="G223" s="33"/>
      <c r="H223" s="33"/>
      <c r="I223" s="33"/>
      <c r="J223" s="47" t="s">
        <v>104</v>
      </c>
      <c r="K223" s="22" t="s">
        <v>105</v>
      </c>
      <c r="L223" s="44">
        <v>6</v>
      </c>
      <c r="M223" s="24">
        <v>247248</v>
      </c>
      <c r="N223" s="44">
        <v>45741</v>
      </c>
      <c r="O223" s="27">
        <f t="shared" si="3"/>
        <v>274445.28000000003</v>
      </c>
    </row>
    <row r="224" spans="1:15" ht="12.2" customHeight="1" x14ac:dyDescent="0.25">
      <c r="A224" s="28"/>
      <c r="B224" s="33"/>
      <c r="C224" s="33"/>
      <c r="D224" s="33"/>
      <c r="E224" s="33"/>
      <c r="F224" s="33"/>
      <c r="G224" s="33"/>
      <c r="H224" s="33"/>
      <c r="I224" s="33"/>
      <c r="J224" s="22" t="s">
        <v>27</v>
      </c>
      <c r="K224" s="43" t="s">
        <v>28</v>
      </c>
      <c r="L224" s="24">
        <v>6</v>
      </c>
      <c r="M224" s="44">
        <v>247248</v>
      </c>
      <c r="N224" s="26">
        <v>45741</v>
      </c>
      <c r="O224" s="27">
        <f t="shared" si="3"/>
        <v>274445.28000000003</v>
      </c>
    </row>
    <row r="225" spans="1:15" ht="12.2" customHeight="1" x14ac:dyDescent="0.25">
      <c r="A225" s="28"/>
      <c r="B225" s="33"/>
      <c r="C225" s="33"/>
      <c r="D225" s="33"/>
      <c r="E225" s="33"/>
      <c r="F225" s="33"/>
      <c r="G225" s="33"/>
      <c r="H225" s="33"/>
      <c r="I225" s="33"/>
      <c r="J225" s="47" t="s">
        <v>309</v>
      </c>
      <c r="K225" s="22" t="s">
        <v>310</v>
      </c>
      <c r="L225" s="44">
        <v>4</v>
      </c>
      <c r="M225" s="24">
        <v>292536</v>
      </c>
      <c r="N225" s="44">
        <v>81179</v>
      </c>
      <c r="O225" s="27">
        <f t="shared" si="3"/>
        <v>324714.96000000002</v>
      </c>
    </row>
    <row r="226" spans="1:15" ht="12.2" customHeight="1" x14ac:dyDescent="0.25">
      <c r="A226" s="28"/>
      <c r="B226" s="33"/>
      <c r="C226" s="33"/>
      <c r="D226" s="33"/>
      <c r="E226" s="33"/>
      <c r="F226" s="33"/>
      <c r="G226" s="33"/>
      <c r="H226" s="33"/>
      <c r="I226" s="33"/>
      <c r="J226" s="22" t="s">
        <v>90</v>
      </c>
      <c r="K226" s="43" t="s">
        <v>91</v>
      </c>
      <c r="L226" s="24">
        <v>12</v>
      </c>
      <c r="M226" s="44">
        <v>47736</v>
      </c>
      <c r="N226" s="26">
        <v>4416</v>
      </c>
      <c r="O226" s="27">
        <f t="shared" si="3"/>
        <v>52986.960000000006</v>
      </c>
    </row>
    <row r="227" spans="1:15" ht="12.2" customHeight="1" x14ac:dyDescent="0.25">
      <c r="A227" s="28"/>
      <c r="B227" s="33"/>
      <c r="C227" s="33"/>
      <c r="D227" s="33"/>
      <c r="E227" s="33"/>
      <c r="F227" s="33"/>
      <c r="G227" s="33"/>
      <c r="H227" s="33"/>
      <c r="I227" s="33"/>
      <c r="J227" s="47" t="s">
        <v>144</v>
      </c>
      <c r="K227" s="22" t="s">
        <v>145</v>
      </c>
      <c r="L227" s="44">
        <v>12</v>
      </c>
      <c r="M227" s="24">
        <v>184824</v>
      </c>
      <c r="N227" s="44">
        <v>17096</v>
      </c>
      <c r="O227" s="27">
        <f t="shared" si="3"/>
        <v>205154.64</v>
      </c>
    </row>
    <row r="228" spans="1:15" ht="12.2" customHeight="1" x14ac:dyDescent="0.25">
      <c r="A228" s="28"/>
      <c r="B228" s="33"/>
      <c r="C228" s="34"/>
      <c r="D228" s="34"/>
      <c r="E228" s="34"/>
      <c r="F228" s="34"/>
      <c r="G228" s="34"/>
      <c r="H228" s="34"/>
      <c r="I228" s="34"/>
      <c r="J228" s="22" t="s">
        <v>56</v>
      </c>
      <c r="K228" s="45" t="s">
        <v>57</v>
      </c>
      <c r="L228" s="24">
        <v>12</v>
      </c>
      <c r="M228" s="46">
        <v>184824</v>
      </c>
      <c r="N228" s="26">
        <v>17096</v>
      </c>
      <c r="O228" s="27">
        <f t="shared" si="3"/>
        <v>205154.64</v>
      </c>
    </row>
    <row r="229" spans="1:15" ht="12.2" customHeight="1" x14ac:dyDescent="0.25">
      <c r="A229" s="28"/>
      <c r="B229" s="33"/>
      <c r="C229" s="30" t="s">
        <v>207</v>
      </c>
      <c r="D229" s="31" t="s">
        <v>356</v>
      </c>
      <c r="E229" s="31" t="s">
        <v>357</v>
      </c>
      <c r="F229" s="31" t="s">
        <v>358</v>
      </c>
      <c r="G229" s="31" t="s">
        <v>359</v>
      </c>
      <c r="H229" s="31" t="s">
        <v>360</v>
      </c>
      <c r="I229" s="31" t="s">
        <v>361</v>
      </c>
      <c r="J229" s="22" t="s">
        <v>64</v>
      </c>
      <c r="K229" s="23" t="s">
        <v>65</v>
      </c>
      <c r="L229" s="24">
        <v>12</v>
      </c>
      <c r="M229" s="25">
        <v>352512</v>
      </c>
      <c r="N229" s="26">
        <v>32607</v>
      </c>
      <c r="O229" s="27">
        <f t="shared" si="3"/>
        <v>391288.32000000001</v>
      </c>
    </row>
    <row r="230" spans="1:15" ht="12.2" customHeight="1" x14ac:dyDescent="0.25">
      <c r="A230" s="28"/>
      <c r="B230" s="33"/>
      <c r="C230" s="34"/>
      <c r="D230" s="34"/>
      <c r="E230" s="34"/>
      <c r="F230" s="34"/>
      <c r="G230" s="34"/>
      <c r="H230" s="34"/>
      <c r="I230" s="34"/>
      <c r="J230" s="48" t="s">
        <v>68</v>
      </c>
      <c r="K230" s="22" t="s">
        <v>69</v>
      </c>
      <c r="L230" s="46">
        <v>12</v>
      </c>
      <c r="M230" s="24">
        <v>352512</v>
      </c>
      <c r="N230" s="46">
        <v>32607</v>
      </c>
      <c r="O230" s="27">
        <f t="shared" si="3"/>
        <v>391288.32000000001</v>
      </c>
    </row>
    <row r="231" spans="1:15" ht="12.2" customHeight="1" x14ac:dyDescent="0.25">
      <c r="A231" s="28"/>
      <c r="B231" s="33"/>
      <c r="C231" s="30" t="s">
        <v>106</v>
      </c>
      <c r="D231" s="31" t="s">
        <v>362</v>
      </c>
      <c r="E231" s="31" t="s">
        <v>363</v>
      </c>
      <c r="F231" s="31" t="s">
        <v>364</v>
      </c>
      <c r="G231" s="31" t="s">
        <v>365</v>
      </c>
      <c r="H231" s="31" t="s">
        <v>366</v>
      </c>
      <c r="I231" s="31" t="s">
        <v>97</v>
      </c>
      <c r="J231" s="23" t="s">
        <v>140</v>
      </c>
      <c r="K231" s="22" t="s">
        <v>141</v>
      </c>
      <c r="L231" s="25">
        <v>12</v>
      </c>
      <c r="M231" s="24">
        <v>195522</v>
      </c>
      <c r="N231" s="25">
        <v>18455</v>
      </c>
      <c r="O231" s="27">
        <f t="shared" si="3"/>
        <v>217029.42</v>
      </c>
    </row>
    <row r="232" spans="1:15" ht="12.2" customHeight="1" x14ac:dyDescent="0.25">
      <c r="A232" s="28"/>
      <c r="B232" s="33"/>
      <c r="C232" s="33"/>
      <c r="D232" s="33"/>
      <c r="E232" s="33"/>
      <c r="F232" s="33"/>
      <c r="G232" s="33"/>
      <c r="H232" s="33"/>
      <c r="I232" s="33"/>
      <c r="J232" s="22" t="s">
        <v>332</v>
      </c>
      <c r="K232" s="43" t="s">
        <v>333</v>
      </c>
      <c r="L232" s="24">
        <v>24</v>
      </c>
      <c r="M232" s="44">
        <v>690924</v>
      </c>
      <c r="N232" s="26">
        <v>32607</v>
      </c>
      <c r="O232" s="27">
        <f t="shared" si="3"/>
        <v>766925.64</v>
      </c>
    </row>
    <row r="233" spans="1:15" ht="12.2" customHeight="1" x14ac:dyDescent="0.25">
      <c r="A233" s="28"/>
      <c r="B233" s="33"/>
      <c r="C233" s="33"/>
      <c r="D233" s="33"/>
      <c r="E233" s="33"/>
      <c r="F233" s="33"/>
      <c r="G233" s="33"/>
      <c r="H233" s="33"/>
      <c r="I233" s="33"/>
      <c r="J233" s="43" t="s">
        <v>68</v>
      </c>
      <c r="K233" s="22" t="s">
        <v>69</v>
      </c>
      <c r="L233" s="44">
        <v>24</v>
      </c>
      <c r="M233" s="24">
        <v>690924</v>
      </c>
      <c r="N233" s="44">
        <v>32607</v>
      </c>
      <c r="O233" s="27">
        <f t="shared" si="3"/>
        <v>766925.64</v>
      </c>
    </row>
    <row r="234" spans="1:15" ht="12.2" customHeight="1" x14ac:dyDescent="0.25">
      <c r="A234" s="28"/>
      <c r="B234" s="33"/>
      <c r="C234" s="33"/>
      <c r="D234" s="33"/>
      <c r="E234" s="33"/>
      <c r="F234" s="33"/>
      <c r="G234" s="33"/>
      <c r="H234" s="33"/>
      <c r="I234" s="33"/>
      <c r="J234" s="42" t="s">
        <v>74</v>
      </c>
      <c r="K234" s="43" t="s">
        <v>75</v>
      </c>
      <c r="L234" s="24">
        <v>48</v>
      </c>
      <c r="M234" s="44">
        <v>834866</v>
      </c>
      <c r="N234" s="26">
        <v>19700</v>
      </c>
      <c r="O234" s="27">
        <f t="shared" si="3"/>
        <v>926701.26000000013</v>
      </c>
    </row>
    <row r="235" spans="1:15" ht="12.2" customHeight="1" x14ac:dyDescent="0.25">
      <c r="A235" s="28"/>
      <c r="B235" s="33"/>
      <c r="C235" s="33"/>
      <c r="D235" s="33"/>
      <c r="E235" s="33"/>
      <c r="F235" s="33"/>
      <c r="G235" s="33"/>
      <c r="H235" s="33"/>
      <c r="I235" s="33"/>
      <c r="J235" s="43" t="s">
        <v>76</v>
      </c>
      <c r="K235" s="22" t="s">
        <v>77</v>
      </c>
      <c r="L235" s="44">
        <v>72</v>
      </c>
      <c r="M235" s="24">
        <v>1252299</v>
      </c>
      <c r="N235" s="44">
        <v>19700</v>
      </c>
      <c r="O235" s="27">
        <f t="shared" si="3"/>
        <v>1390051.8900000001</v>
      </c>
    </row>
    <row r="236" spans="1:15" ht="12.2" customHeight="1" x14ac:dyDescent="0.25">
      <c r="A236" s="28"/>
      <c r="B236" s="33"/>
      <c r="C236" s="33"/>
      <c r="D236" s="33"/>
      <c r="E236" s="33"/>
      <c r="F236" s="33"/>
      <c r="G236" s="33"/>
      <c r="H236" s="33"/>
      <c r="I236" s="33"/>
      <c r="J236" s="42" t="s">
        <v>35</v>
      </c>
      <c r="K236" s="43" t="s">
        <v>36</v>
      </c>
      <c r="L236" s="24">
        <v>240</v>
      </c>
      <c r="M236" s="44">
        <v>3358656</v>
      </c>
      <c r="N236" s="26">
        <v>15851</v>
      </c>
      <c r="O236" s="27">
        <f t="shared" si="3"/>
        <v>3728108.16</v>
      </c>
    </row>
    <row r="237" spans="1:15" ht="12.2" customHeight="1" x14ac:dyDescent="0.25">
      <c r="A237" s="28"/>
      <c r="B237" s="33"/>
      <c r="C237" s="33"/>
      <c r="D237" s="33"/>
      <c r="E237" s="33"/>
      <c r="F237" s="33"/>
      <c r="G237" s="33"/>
      <c r="H237" s="33"/>
      <c r="I237" s="33"/>
      <c r="J237" s="43" t="s">
        <v>37</v>
      </c>
      <c r="K237" s="22" t="s">
        <v>38</v>
      </c>
      <c r="L237" s="44">
        <v>420</v>
      </c>
      <c r="M237" s="24">
        <v>8816472</v>
      </c>
      <c r="N237" s="44">
        <v>23776</v>
      </c>
      <c r="O237" s="27">
        <f t="shared" si="3"/>
        <v>9786283.9200000018</v>
      </c>
    </row>
    <row r="238" spans="1:15" ht="12.2" customHeight="1" x14ac:dyDescent="0.25">
      <c r="A238" s="28"/>
      <c r="B238" s="33"/>
      <c r="C238" s="33"/>
      <c r="D238" s="33"/>
      <c r="E238" s="33"/>
      <c r="F238" s="33"/>
      <c r="G238" s="33"/>
      <c r="H238" s="33"/>
      <c r="I238" s="33"/>
      <c r="J238" s="42" t="s">
        <v>27</v>
      </c>
      <c r="K238" s="43" t="s">
        <v>28</v>
      </c>
      <c r="L238" s="24">
        <v>30</v>
      </c>
      <c r="M238" s="44">
        <v>1211515</v>
      </c>
      <c r="N238" s="26">
        <v>45741</v>
      </c>
      <c r="O238" s="27">
        <f t="shared" si="3"/>
        <v>1344781.6500000001</v>
      </c>
    </row>
    <row r="239" spans="1:15" ht="12.2" customHeight="1" x14ac:dyDescent="0.25">
      <c r="A239" s="28"/>
      <c r="B239" s="33"/>
      <c r="C239" s="33"/>
      <c r="D239" s="34"/>
      <c r="E239" s="34"/>
      <c r="F239" s="34"/>
      <c r="G239" s="34"/>
      <c r="H239" s="34"/>
      <c r="I239" s="34"/>
      <c r="J239" s="43" t="s">
        <v>144</v>
      </c>
      <c r="K239" s="22" t="s">
        <v>145</v>
      </c>
      <c r="L239" s="44">
        <v>72</v>
      </c>
      <c r="M239" s="24">
        <v>1086765</v>
      </c>
      <c r="N239" s="44">
        <v>17096</v>
      </c>
      <c r="O239" s="27">
        <f t="shared" si="3"/>
        <v>1206309.1500000001</v>
      </c>
    </row>
    <row r="240" spans="1:15" ht="12.2" customHeight="1" x14ac:dyDescent="0.25">
      <c r="A240" s="28"/>
      <c r="B240" s="33"/>
      <c r="C240" s="33"/>
      <c r="D240" s="42" t="s">
        <v>367</v>
      </c>
      <c r="E240" s="43" t="s">
        <v>357</v>
      </c>
      <c r="F240" s="22" t="s">
        <v>358</v>
      </c>
      <c r="G240" s="43" t="s">
        <v>359</v>
      </c>
      <c r="H240" s="22" t="s">
        <v>360</v>
      </c>
      <c r="I240" s="43" t="s">
        <v>361</v>
      </c>
      <c r="J240" s="22" t="s">
        <v>37</v>
      </c>
      <c r="K240" s="43" t="s">
        <v>38</v>
      </c>
      <c r="L240" s="24">
        <v>120</v>
      </c>
      <c r="M240" s="44">
        <v>2570400</v>
      </c>
      <c r="N240" s="26">
        <v>23776</v>
      </c>
      <c r="O240" s="27">
        <f t="shared" si="3"/>
        <v>2853144.0000000005</v>
      </c>
    </row>
    <row r="241" spans="1:15" ht="12.2" customHeight="1" x14ac:dyDescent="0.25">
      <c r="A241" s="28"/>
      <c r="B241" s="33"/>
      <c r="C241" s="33"/>
      <c r="D241" s="31" t="s">
        <v>368</v>
      </c>
      <c r="E241" s="31" t="s">
        <v>369</v>
      </c>
      <c r="F241" s="31" t="s">
        <v>302</v>
      </c>
      <c r="G241" s="31" t="s">
        <v>370</v>
      </c>
      <c r="H241" s="31" t="s">
        <v>371</v>
      </c>
      <c r="I241" s="31" t="s">
        <v>305</v>
      </c>
      <c r="J241" s="43" t="s">
        <v>64</v>
      </c>
      <c r="K241" s="22" t="s">
        <v>65</v>
      </c>
      <c r="L241" s="44">
        <v>12</v>
      </c>
      <c r="M241" s="24">
        <v>352512</v>
      </c>
      <c r="N241" s="44">
        <v>32607</v>
      </c>
      <c r="O241" s="27">
        <f t="shared" si="3"/>
        <v>391288.32000000001</v>
      </c>
    </row>
    <row r="242" spans="1:15" ht="12.2" customHeight="1" x14ac:dyDescent="0.25">
      <c r="A242" s="28"/>
      <c r="B242" s="33"/>
      <c r="C242" s="34"/>
      <c r="D242" s="34"/>
      <c r="E242" s="34"/>
      <c r="F242" s="34"/>
      <c r="G242" s="34"/>
      <c r="H242" s="34"/>
      <c r="I242" s="34"/>
      <c r="J242" s="22" t="s">
        <v>68</v>
      </c>
      <c r="K242" s="43" t="s">
        <v>69</v>
      </c>
      <c r="L242" s="24">
        <v>12</v>
      </c>
      <c r="M242" s="44">
        <v>352512</v>
      </c>
      <c r="N242" s="26">
        <v>32607</v>
      </c>
      <c r="O242" s="27">
        <f t="shared" si="3"/>
        <v>391288.32000000001</v>
      </c>
    </row>
    <row r="243" spans="1:15" ht="12.2" customHeight="1" x14ac:dyDescent="0.25">
      <c r="A243" s="28"/>
      <c r="B243" s="33"/>
      <c r="C243" s="30" t="s">
        <v>113</v>
      </c>
      <c r="D243" s="31" t="s">
        <v>372</v>
      </c>
      <c r="E243" s="31" t="s">
        <v>373</v>
      </c>
      <c r="F243" s="31" t="s">
        <v>374</v>
      </c>
      <c r="G243" s="31" t="s">
        <v>375</v>
      </c>
      <c r="H243" s="31" t="s">
        <v>376</v>
      </c>
      <c r="I243" s="31" t="s">
        <v>26</v>
      </c>
      <c r="J243" s="22" t="s">
        <v>35</v>
      </c>
      <c r="K243" s="23" t="s">
        <v>36</v>
      </c>
      <c r="L243" s="53">
        <v>120</v>
      </c>
      <c r="M243" s="25">
        <v>1679328</v>
      </c>
      <c r="N243" s="54">
        <v>15851</v>
      </c>
      <c r="O243" s="27">
        <f t="shared" si="3"/>
        <v>1864054.08</v>
      </c>
    </row>
    <row r="244" spans="1:15" ht="12.2" customHeight="1" x14ac:dyDescent="0.25">
      <c r="A244" s="28"/>
      <c r="B244" s="33"/>
      <c r="C244" s="33"/>
      <c r="D244" s="33"/>
      <c r="E244" s="33"/>
      <c r="F244" s="33"/>
      <c r="G244" s="33"/>
      <c r="H244" s="33"/>
      <c r="I244" s="33"/>
      <c r="J244" s="47" t="s">
        <v>37</v>
      </c>
      <c r="K244" s="22" t="s">
        <v>38</v>
      </c>
      <c r="L244" s="25">
        <v>360</v>
      </c>
      <c r="M244" s="24">
        <v>7556976</v>
      </c>
      <c r="N244" s="25">
        <v>23776</v>
      </c>
      <c r="O244" s="27">
        <f t="shared" si="3"/>
        <v>8388243.3600000003</v>
      </c>
    </row>
    <row r="245" spans="1:15" ht="12.2" customHeight="1" x14ac:dyDescent="0.25">
      <c r="A245" s="28"/>
      <c r="B245" s="33"/>
      <c r="C245" s="33"/>
      <c r="D245" s="34"/>
      <c r="E245" s="34"/>
      <c r="F245" s="34"/>
      <c r="G245" s="34"/>
      <c r="H245" s="34"/>
      <c r="I245" s="34"/>
      <c r="J245" s="22" t="s">
        <v>27</v>
      </c>
      <c r="K245" s="23" t="s">
        <v>28</v>
      </c>
      <c r="L245" s="24">
        <v>180</v>
      </c>
      <c r="M245" s="25">
        <v>7269091</v>
      </c>
      <c r="N245" s="26">
        <v>45741</v>
      </c>
      <c r="O245" s="27">
        <f t="shared" si="3"/>
        <v>8068691.0100000007</v>
      </c>
    </row>
    <row r="246" spans="1:15" ht="12.2" customHeight="1" x14ac:dyDescent="0.25">
      <c r="A246" s="28"/>
      <c r="B246" s="33"/>
      <c r="C246" s="33"/>
      <c r="D246" s="31" t="s">
        <v>377</v>
      </c>
      <c r="E246" s="31" t="s">
        <v>378</v>
      </c>
      <c r="F246" s="31" t="s">
        <v>379</v>
      </c>
      <c r="G246" s="31" t="s">
        <v>380</v>
      </c>
      <c r="H246" s="31" t="s">
        <v>376</v>
      </c>
      <c r="I246" s="31" t="s">
        <v>26</v>
      </c>
      <c r="J246" s="23" t="s">
        <v>35</v>
      </c>
      <c r="K246" s="22" t="s">
        <v>36</v>
      </c>
      <c r="L246" s="25">
        <v>360</v>
      </c>
      <c r="M246" s="24">
        <v>5037984</v>
      </c>
      <c r="N246" s="25">
        <v>15851</v>
      </c>
      <c r="O246" s="27">
        <f t="shared" si="3"/>
        <v>5592162.2400000002</v>
      </c>
    </row>
    <row r="247" spans="1:15" ht="12.2" customHeight="1" x14ac:dyDescent="0.25">
      <c r="A247" s="28"/>
      <c r="B247" s="33"/>
      <c r="C247" s="33"/>
      <c r="D247" s="33"/>
      <c r="E247" s="33"/>
      <c r="F247" s="33"/>
      <c r="G247" s="33"/>
      <c r="H247" s="33"/>
      <c r="I247" s="33"/>
      <c r="J247" s="22" t="s">
        <v>37</v>
      </c>
      <c r="K247" s="23" t="s">
        <v>38</v>
      </c>
      <c r="L247" s="24">
        <v>360</v>
      </c>
      <c r="M247" s="25">
        <v>7556976</v>
      </c>
      <c r="N247" s="26">
        <v>23776</v>
      </c>
      <c r="O247" s="27">
        <f t="shared" si="3"/>
        <v>8388243.3600000003</v>
      </c>
    </row>
    <row r="248" spans="1:15" ht="12.2" customHeight="1" x14ac:dyDescent="0.25">
      <c r="A248" s="28"/>
      <c r="B248" s="33"/>
      <c r="C248" s="34"/>
      <c r="D248" s="34"/>
      <c r="E248" s="34"/>
      <c r="F248" s="34"/>
      <c r="G248" s="34"/>
      <c r="H248" s="34"/>
      <c r="I248" s="34"/>
      <c r="J248" s="38" t="s">
        <v>27</v>
      </c>
      <c r="K248" s="22" t="s">
        <v>28</v>
      </c>
      <c r="L248" s="39">
        <v>72</v>
      </c>
      <c r="M248" s="24">
        <v>2907637</v>
      </c>
      <c r="N248" s="39">
        <v>45741</v>
      </c>
      <c r="O248" s="27">
        <f t="shared" si="3"/>
        <v>3227477.0700000003</v>
      </c>
    </row>
    <row r="249" spans="1:15" ht="12.2" customHeight="1" x14ac:dyDescent="0.25">
      <c r="A249" s="28"/>
      <c r="B249" s="33"/>
      <c r="C249" s="30" t="s">
        <v>157</v>
      </c>
      <c r="D249" s="31" t="s">
        <v>381</v>
      </c>
      <c r="E249" s="31" t="s">
        <v>382</v>
      </c>
      <c r="F249" s="31" t="s">
        <v>383</v>
      </c>
      <c r="G249" s="31" t="s">
        <v>384</v>
      </c>
      <c r="H249" s="31" t="s">
        <v>343</v>
      </c>
      <c r="I249" s="31" t="s">
        <v>112</v>
      </c>
      <c r="J249" s="23" t="s">
        <v>134</v>
      </c>
      <c r="K249" s="22" t="s">
        <v>135</v>
      </c>
      <c r="L249" s="25">
        <v>6</v>
      </c>
      <c r="M249" s="24">
        <v>127749</v>
      </c>
      <c r="N249" s="25">
        <v>24116</v>
      </c>
      <c r="O249" s="27">
        <f t="shared" si="3"/>
        <v>141801.39000000001</v>
      </c>
    </row>
    <row r="250" spans="1:15" ht="12.2" customHeight="1" x14ac:dyDescent="0.25">
      <c r="A250" s="28"/>
      <c r="B250" s="33"/>
      <c r="C250" s="33"/>
      <c r="D250" s="33"/>
      <c r="E250" s="33"/>
      <c r="F250" s="33"/>
      <c r="G250" s="33"/>
      <c r="H250" s="33"/>
      <c r="I250" s="33"/>
      <c r="J250" s="22" t="s">
        <v>98</v>
      </c>
      <c r="K250" s="23" t="s">
        <v>99</v>
      </c>
      <c r="L250" s="24">
        <v>12</v>
      </c>
      <c r="M250" s="25">
        <v>29988</v>
      </c>
      <c r="N250" s="26">
        <v>2831</v>
      </c>
      <c r="O250" s="27">
        <f t="shared" si="3"/>
        <v>33286.68</v>
      </c>
    </row>
    <row r="251" spans="1:15" ht="12.2" customHeight="1" x14ac:dyDescent="0.25">
      <c r="A251" s="28"/>
      <c r="B251" s="33"/>
      <c r="C251" s="33"/>
      <c r="D251" s="33"/>
      <c r="E251" s="33"/>
      <c r="F251" s="33"/>
      <c r="G251" s="33"/>
      <c r="H251" s="33"/>
      <c r="I251" s="33"/>
      <c r="J251" s="23" t="s">
        <v>100</v>
      </c>
      <c r="K251" s="22" t="s">
        <v>101</v>
      </c>
      <c r="L251" s="25">
        <v>12</v>
      </c>
      <c r="M251" s="24">
        <v>29988</v>
      </c>
      <c r="N251" s="25">
        <v>2831</v>
      </c>
      <c r="O251" s="27">
        <f t="shared" si="3"/>
        <v>33286.68</v>
      </c>
    </row>
    <row r="252" spans="1:15" ht="12.2" customHeight="1" x14ac:dyDescent="0.25">
      <c r="A252" s="28"/>
      <c r="B252" s="33"/>
      <c r="C252" s="33"/>
      <c r="D252" s="33"/>
      <c r="E252" s="33"/>
      <c r="F252" s="33"/>
      <c r="G252" s="33"/>
      <c r="H252" s="33"/>
      <c r="I252" s="33"/>
      <c r="J252" s="22" t="s">
        <v>136</v>
      </c>
      <c r="K252" s="23" t="s">
        <v>137</v>
      </c>
      <c r="L252" s="24">
        <v>12</v>
      </c>
      <c r="M252" s="25">
        <v>29988</v>
      </c>
      <c r="N252" s="26">
        <v>2831</v>
      </c>
      <c r="O252" s="27">
        <f t="shared" si="3"/>
        <v>33286.68</v>
      </c>
    </row>
    <row r="253" spans="1:15" ht="12.2" customHeight="1" x14ac:dyDescent="0.25">
      <c r="A253" s="28"/>
      <c r="B253" s="33"/>
      <c r="C253" s="33"/>
      <c r="D253" s="33"/>
      <c r="E253" s="33"/>
      <c r="F253" s="33"/>
      <c r="G253" s="33"/>
      <c r="H253" s="33"/>
      <c r="I253" s="33"/>
      <c r="J253" s="23" t="s">
        <v>102</v>
      </c>
      <c r="K253" s="22" t="s">
        <v>103</v>
      </c>
      <c r="L253" s="25">
        <v>12</v>
      </c>
      <c r="M253" s="24">
        <v>29988</v>
      </c>
      <c r="N253" s="25">
        <v>2831</v>
      </c>
      <c r="O253" s="27">
        <f t="shared" si="3"/>
        <v>33286.68</v>
      </c>
    </row>
    <row r="254" spans="1:15" ht="12.2" customHeight="1" x14ac:dyDescent="0.25">
      <c r="A254" s="28"/>
      <c r="B254" s="33"/>
      <c r="C254" s="33"/>
      <c r="D254" s="33"/>
      <c r="E254" s="33"/>
      <c r="F254" s="33"/>
      <c r="G254" s="33"/>
      <c r="H254" s="33"/>
      <c r="I254" s="33"/>
      <c r="J254" s="22" t="s">
        <v>183</v>
      </c>
      <c r="K254" s="23" t="s">
        <v>184</v>
      </c>
      <c r="L254" s="24">
        <v>12</v>
      </c>
      <c r="M254" s="25">
        <v>74370</v>
      </c>
      <c r="N254" s="26">
        <v>7020</v>
      </c>
      <c r="O254" s="27">
        <f t="shared" si="3"/>
        <v>82550.700000000012</v>
      </c>
    </row>
    <row r="255" spans="1:15" ht="12.2" customHeight="1" x14ac:dyDescent="0.25">
      <c r="A255" s="28"/>
      <c r="B255" s="33"/>
      <c r="C255" s="33"/>
      <c r="D255" s="33"/>
      <c r="E255" s="33"/>
      <c r="F255" s="33"/>
      <c r="G255" s="33"/>
      <c r="H255" s="33"/>
      <c r="I255" s="33"/>
      <c r="J255" s="23" t="s">
        <v>332</v>
      </c>
      <c r="K255" s="22" t="s">
        <v>333</v>
      </c>
      <c r="L255" s="25">
        <v>12</v>
      </c>
      <c r="M255" s="24">
        <v>345462</v>
      </c>
      <c r="N255" s="44">
        <v>32607</v>
      </c>
      <c r="O255" s="27">
        <f t="shared" si="3"/>
        <v>383462.82</v>
      </c>
    </row>
    <row r="256" spans="1:15" ht="12.2" customHeight="1" x14ac:dyDescent="0.25">
      <c r="A256" s="28"/>
      <c r="B256" s="33"/>
      <c r="C256" s="33"/>
      <c r="D256" s="33"/>
      <c r="E256" s="33"/>
      <c r="F256" s="33"/>
      <c r="G256" s="33"/>
      <c r="H256" s="33"/>
      <c r="I256" s="33"/>
      <c r="J256" s="42" t="s">
        <v>64</v>
      </c>
      <c r="K256" s="43" t="s">
        <v>65</v>
      </c>
      <c r="L256" s="24">
        <v>12</v>
      </c>
      <c r="M256" s="44">
        <v>345462</v>
      </c>
      <c r="N256" s="26">
        <v>32607</v>
      </c>
      <c r="O256" s="27">
        <f t="shared" si="3"/>
        <v>383462.82</v>
      </c>
    </row>
    <row r="257" spans="1:15" ht="12.2" customHeight="1" x14ac:dyDescent="0.25">
      <c r="A257" s="28"/>
      <c r="B257" s="33"/>
      <c r="C257" s="33"/>
      <c r="D257" s="33"/>
      <c r="E257" s="33"/>
      <c r="F257" s="33"/>
      <c r="G257" s="33"/>
      <c r="H257" s="33"/>
      <c r="I257" s="33"/>
      <c r="J257" s="43" t="s">
        <v>142</v>
      </c>
      <c r="K257" s="22" t="s">
        <v>143</v>
      </c>
      <c r="L257" s="44">
        <v>12</v>
      </c>
      <c r="M257" s="24">
        <v>345462</v>
      </c>
      <c r="N257" s="44">
        <v>32607</v>
      </c>
      <c r="O257" s="27">
        <f t="shared" si="3"/>
        <v>383462.82</v>
      </c>
    </row>
    <row r="258" spans="1:15" ht="12.2" customHeight="1" x14ac:dyDescent="0.25">
      <c r="A258" s="28"/>
      <c r="B258" s="33"/>
      <c r="C258" s="33"/>
      <c r="D258" s="33"/>
      <c r="E258" s="33"/>
      <c r="F258" s="33"/>
      <c r="G258" s="33"/>
      <c r="H258" s="33"/>
      <c r="I258" s="33"/>
      <c r="J258" s="42" t="s">
        <v>66</v>
      </c>
      <c r="K258" s="43" t="s">
        <v>67</v>
      </c>
      <c r="L258" s="24">
        <v>12</v>
      </c>
      <c r="M258" s="44">
        <v>345462</v>
      </c>
      <c r="N258" s="26">
        <v>32607</v>
      </c>
      <c r="O258" s="27">
        <f t="shared" si="3"/>
        <v>383462.82</v>
      </c>
    </row>
    <row r="259" spans="1:15" ht="12.2" customHeight="1" x14ac:dyDescent="0.25">
      <c r="A259" s="28"/>
      <c r="B259" s="33"/>
      <c r="C259" s="33"/>
      <c r="D259" s="33"/>
      <c r="E259" s="33"/>
      <c r="F259" s="33"/>
      <c r="G259" s="33"/>
      <c r="H259" s="33"/>
      <c r="I259" s="33"/>
      <c r="J259" s="43" t="s">
        <v>68</v>
      </c>
      <c r="K259" s="22" t="s">
        <v>69</v>
      </c>
      <c r="L259" s="44">
        <v>12</v>
      </c>
      <c r="M259" s="24">
        <v>345462</v>
      </c>
      <c r="N259" s="44">
        <v>32607</v>
      </c>
      <c r="O259" s="27">
        <f t="shared" si="3"/>
        <v>383462.82</v>
      </c>
    </row>
    <row r="260" spans="1:15" ht="12.2" customHeight="1" x14ac:dyDescent="0.25">
      <c r="A260" s="28"/>
      <c r="B260" s="33"/>
      <c r="C260" s="33"/>
      <c r="D260" s="33"/>
      <c r="E260" s="33"/>
      <c r="F260" s="33"/>
      <c r="G260" s="33"/>
      <c r="H260" s="33"/>
      <c r="I260" s="33"/>
      <c r="J260" s="42" t="s">
        <v>70</v>
      </c>
      <c r="K260" s="43" t="s">
        <v>71</v>
      </c>
      <c r="L260" s="24">
        <v>12</v>
      </c>
      <c r="M260" s="44">
        <v>208717</v>
      </c>
      <c r="N260" s="26">
        <v>19700</v>
      </c>
      <c r="O260" s="27">
        <f t="shared" si="3"/>
        <v>231675.87000000002</v>
      </c>
    </row>
    <row r="261" spans="1:15" ht="12.2" customHeight="1" x14ac:dyDescent="0.25">
      <c r="A261" s="28"/>
      <c r="B261" s="33"/>
      <c r="C261" s="33"/>
      <c r="D261" s="33"/>
      <c r="E261" s="33"/>
      <c r="F261" s="33"/>
      <c r="G261" s="33"/>
      <c r="H261" s="33"/>
      <c r="I261" s="33"/>
      <c r="J261" s="43" t="s">
        <v>72</v>
      </c>
      <c r="K261" s="22" t="s">
        <v>73</v>
      </c>
      <c r="L261" s="44">
        <v>12</v>
      </c>
      <c r="M261" s="24">
        <v>208717</v>
      </c>
      <c r="N261" s="44">
        <v>19700</v>
      </c>
      <c r="O261" s="27">
        <f t="shared" si="3"/>
        <v>231675.87000000002</v>
      </c>
    </row>
    <row r="262" spans="1:15" ht="12.2" customHeight="1" x14ac:dyDescent="0.25">
      <c r="A262" s="28"/>
      <c r="B262" s="33"/>
      <c r="C262" s="33"/>
      <c r="D262" s="33"/>
      <c r="E262" s="33"/>
      <c r="F262" s="33"/>
      <c r="G262" s="33"/>
      <c r="H262" s="33"/>
      <c r="I262" s="33"/>
      <c r="J262" s="42" t="s">
        <v>74</v>
      </c>
      <c r="K262" s="43" t="s">
        <v>75</v>
      </c>
      <c r="L262" s="24">
        <v>12</v>
      </c>
      <c r="M262" s="44">
        <v>208717</v>
      </c>
      <c r="N262" s="26">
        <v>19700</v>
      </c>
      <c r="O262" s="27">
        <f t="shared" si="3"/>
        <v>231675.87000000002</v>
      </c>
    </row>
    <row r="263" spans="1:15" ht="12.2" customHeight="1" x14ac:dyDescent="0.25">
      <c r="A263" s="28"/>
      <c r="B263" s="33"/>
      <c r="C263" s="33"/>
      <c r="D263" s="33"/>
      <c r="E263" s="33"/>
      <c r="F263" s="33"/>
      <c r="G263" s="33"/>
      <c r="H263" s="33"/>
      <c r="I263" s="33"/>
      <c r="J263" s="43" t="s">
        <v>76</v>
      </c>
      <c r="K263" s="22" t="s">
        <v>77</v>
      </c>
      <c r="L263" s="44">
        <v>12</v>
      </c>
      <c r="M263" s="24">
        <v>208717</v>
      </c>
      <c r="N263" s="44">
        <v>19700</v>
      </c>
      <c r="O263" s="27">
        <f t="shared" ref="O263:O326" si="4">M263*1.11</f>
        <v>231675.87000000002</v>
      </c>
    </row>
    <row r="264" spans="1:15" ht="12.2" customHeight="1" x14ac:dyDescent="0.25">
      <c r="A264" s="28"/>
      <c r="B264" s="33"/>
      <c r="C264" s="33"/>
      <c r="D264" s="33"/>
      <c r="E264" s="33"/>
      <c r="F264" s="33"/>
      <c r="G264" s="33"/>
      <c r="H264" s="33"/>
      <c r="I264" s="33"/>
      <c r="J264" s="42" t="s">
        <v>78</v>
      </c>
      <c r="K264" s="43" t="s">
        <v>79</v>
      </c>
      <c r="L264" s="24">
        <v>12</v>
      </c>
      <c r="M264" s="44">
        <v>208717</v>
      </c>
      <c r="N264" s="26">
        <v>19700</v>
      </c>
      <c r="O264" s="27">
        <f t="shared" si="4"/>
        <v>231675.87000000002</v>
      </c>
    </row>
    <row r="265" spans="1:15" ht="12.2" customHeight="1" x14ac:dyDescent="0.25">
      <c r="A265" s="28"/>
      <c r="B265" s="33"/>
      <c r="C265" s="33"/>
      <c r="D265" s="33"/>
      <c r="E265" s="33"/>
      <c r="F265" s="33"/>
      <c r="G265" s="33"/>
      <c r="H265" s="33"/>
      <c r="I265" s="33"/>
      <c r="J265" s="43" t="s">
        <v>35</v>
      </c>
      <c r="K265" s="22" t="s">
        <v>36</v>
      </c>
      <c r="L265" s="44">
        <v>24</v>
      </c>
      <c r="M265" s="24">
        <v>335866</v>
      </c>
      <c r="N265" s="44">
        <v>15851</v>
      </c>
      <c r="O265" s="27">
        <f t="shared" si="4"/>
        <v>372811.26</v>
      </c>
    </row>
    <row r="266" spans="1:15" ht="12.2" customHeight="1" x14ac:dyDescent="0.25">
      <c r="A266" s="28"/>
      <c r="B266" s="33"/>
      <c r="C266" s="33"/>
      <c r="D266" s="33"/>
      <c r="E266" s="33"/>
      <c r="F266" s="33"/>
      <c r="G266" s="33"/>
      <c r="H266" s="33"/>
      <c r="I266" s="33"/>
      <c r="J266" s="42" t="s">
        <v>37</v>
      </c>
      <c r="K266" s="43" t="s">
        <v>38</v>
      </c>
      <c r="L266" s="24">
        <v>24</v>
      </c>
      <c r="M266" s="44">
        <v>503798</v>
      </c>
      <c r="N266" s="26">
        <v>23776</v>
      </c>
      <c r="O266" s="27">
        <f t="shared" si="4"/>
        <v>559215.78</v>
      </c>
    </row>
    <row r="267" spans="1:15" ht="12.2" customHeight="1" x14ac:dyDescent="0.25">
      <c r="A267" s="28"/>
      <c r="B267" s="33"/>
      <c r="C267" s="33"/>
      <c r="D267" s="33"/>
      <c r="E267" s="33"/>
      <c r="F267" s="33"/>
      <c r="G267" s="33"/>
      <c r="H267" s="33"/>
      <c r="I267" s="33"/>
      <c r="J267" s="43" t="s">
        <v>27</v>
      </c>
      <c r="K267" s="22" t="s">
        <v>28</v>
      </c>
      <c r="L267" s="44">
        <v>12</v>
      </c>
      <c r="M267" s="24">
        <v>484606</v>
      </c>
      <c r="N267" s="44">
        <v>45741</v>
      </c>
      <c r="O267" s="27">
        <f t="shared" si="4"/>
        <v>537912.66</v>
      </c>
    </row>
    <row r="268" spans="1:15" ht="12.2" customHeight="1" x14ac:dyDescent="0.25">
      <c r="A268" s="28"/>
      <c r="B268" s="33"/>
      <c r="C268" s="33"/>
      <c r="D268" s="34"/>
      <c r="E268" s="34"/>
      <c r="F268" s="34"/>
      <c r="G268" s="34"/>
      <c r="H268" s="34"/>
      <c r="I268" s="34"/>
      <c r="J268" s="42" t="s">
        <v>90</v>
      </c>
      <c r="K268" s="75" t="s">
        <v>91</v>
      </c>
      <c r="L268" s="24">
        <v>24</v>
      </c>
      <c r="M268" s="76">
        <v>93563</v>
      </c>
      <c r="N268" s="26">
        <v>4416</v>
      </c>
      <c r="O268" s="27">
        <f t="shared" si="4"/>
        <v>103854.93000000001</v>
      </c>
    </row>
    <row r="269" spans="1:15" ht="12.2" customHeight="1" x14ac:dyDescent="0.25">
      <c r="A269" s="28"/>
      <c r="B269" s="33"/>
      <c r="C269" s="33"/>
      <c r="D269" s="31" t="s">
        <v>385</v>
      </c>
      <c r="E269" s="31" t="s">
        <v>386</v>
      </c>
      <c r="F269" s="31" t="s">
        <v>387</v>
      </c>
      <c r="G269" s="31" t="s">
        <v>388</v>
      </c>
      <c r="H269" s="31" t="s">
        <v>389</v>
      </c>
      <c r="I269" s="31" t="s">
        <v>49</v>
      </c>
      <c r="J269" s="75" t="s">
        <v>35</v>
      </c>
      <c r="K269" s="77" t="s">
        <v>36</v>
      </c>
      <c r="L269" s="76">
        <v>12</v>
      </c>
      <c r="M269" s="78">
        <v>171360</v>
      </c>
      <c r="N269" s="76">
        <v>15851</v>
      </c>
      <c r="O269" s="27">
        <f t="shared" si="4"/>
        <v>190209.6</v>
      </c>
    </row>
    <row r="270" spans="1:15" ht="12.2" customHeight="1" x14ac:dyDescent="0.25">
      <c r="A270" s="28"/>
      <c r="B270" s="33"/>
      <c r="C270" s="33"/>
      <c r="D270" s="33"/>
      <c r="E270" s="33"/>
      <c r="F270" s="33"/>
      <c r="G270" s="33"/>
      <c r="H270" s="33"/>
      <c r="I270" s="33"/>
      <c r="J270" s="79" t="s">
        <v>37</v>
      </c>
      <c r="K270" s="75" t="s">
        <v>38</v>
      </c>
      <c r="L270" s="78">
        <v>12</v>
      </c>
      <c r="M270" s="76">
        <v>257040</v>
      </c>
      <c r="N270" s="80">
        <v>23776</v>
      </c>
      <c r="O270" s="27">
        <f t="shared" si="4"/>
        <v>285314.40000000002</v>
      </c>
    </row>
    <row r="271" spans="1:15" ht="12.2" customHeight="1" x14ac:dyDescent="0.25">
      <c r="A271" s="28"/>
      <c r="B271" s="33"/>
      <c r="C271" s="33"/>
      <c r="D271" s="33"/>
      <c r="E271" s="33"/>
      <c r="F271" s="33"/>
      <c r="G271" s="33"/>
      <c r="H271" s="33"/>
      <c r="I271" s="33"/>
      <c r="J271" s="75" t="s">
        <v>90</v>
      </c>
      <c r="K271" s="77" t="s">
        <v>91</v>
      </c>
      <c r="L271" s="76">
        <v>12</v>
      </c>
      <c r="M271" s="78">
        <v>47736</v>
      </c>
      <c r="N271" s="76">
        <v>4416</v>
      </c>
      <c r="O271" s="27">
        <f t="shared" si="4"/>
        <v>52986.960000000006</v>
      </c>
    </row>
    <row r="272" spans="1:15" ht="12.2" customHeight="1" x14ac:dyDescent="0.25">
      <c r="A272" s="28"/>
      <c r="B272" s="33"/>
      <c r="C272" s="33"/>
      <c r="D272" s="33"/>
      <c r="E272" s="33"/>
      <c r="F272" s="33"/>
      <c r="G272" s="33"/>
      <c r="H272" s="33"/>
      <c r="I272" s="33"/>
      <c r="J272" s="79" t="s">
        <v>144</v>
      </c>
      <c r="K272" s="75" t="s">
        <v>145</v>
      </c>
      <c r="L272" s="78">
        <v>12</v>
      </c>
      <c r="M272" s="76">
        <v>184824</v>
      </c>
      <c r="N272" s="80">
        <v>17096</v>
      </c>
      <c r="O272" s="27">
        <f t="shared" si="4"/>
        <v>205154.64</v>
      </c>
    </row>
    <row r="273" spans="1:15" ht="12.2" customHeight="1" x14ac:dyDescent="0.25">
      <c r="A273" s="28"/>
      <c r="B273" s="33"/>
      <c r="C273" s="33"/>
      <c r="D273" s="70"/>
      <c r="E273" s="34"/>
      <c r="F273" s="70"/>
      <c r="G273" s="34"/>
      <c r="H273" s="70"/>
      <c r="I273" s="34"/>
      <c r="J273" s="75" t="s">
        <v>56</v>
      </c>
      <c r="K273" s="77" t="s">
        <v>57</v>
      </c>
      <c r="L273" s="76">
        <v>12</v>
      </c>
      <c r="M273" s="78">
        <v>184824</v>
      </c>
      <c r="N273" s="76">
        <v>17096</v>
      </c>
      <c r="O273" s="27">
        <f t="shared" si="4"/>
        <v>205154.64</v>
      </c>
    </row>
    <row r="274" spans="1:15" ht="12.2" customHeight="1" x14ac:dyDescent="0.25">
      <c r="A274" s="28"/>
      <c r="B274" s="33"/>
      <c r="C274" s="33"/>
      <c r="D274" s="71" t="s">
        <v>390</v>
      </c>
      <c r="E274" s="31" t="s">
        <v>391</v>
      </c>
      <c r="F274" s="71" t="s">
        <v>392</v>
      </c>
      <c r="G274" s="31" t="s">
        <v>393</v>
      </c>
      <c r="H274" s="71" t="s">
        <v>394</v>
      </c>
      <c r="I274" s="35" t="s">
        <v>26</v>
      </c>
      <c r="J274" s="77" t="s">
        <v>183</v>
      </c>
      <c r="K274" s="75" t="s">
        <v>184</v>
      </c>
      <c r="L274" s="78">
        <v>12</v>
      </c>
      <c r="M274" s="76">
        <v>75888</v>
      </c>
      <c r="N274" s="80">
        <v>7020</v>
      </c>
      <c r="O274" s="27">
        <f t="shared" si="4"/>
        <v>84235.680000000008</v>
      </c>
    </row>
    <row r="275" spans="1:15" ht="12.2" customHeight="1" x14ac:dyDescent="0.25">
      <c r="A275" s="28"/>
      <c r="B275" s="33"/>
      <c r="C275" s="33"/>
      <c r="D275" s="33"/>
      <c r="E275" s="33"/>
      <c r="F275" s="33"/>
      <c r="G275" s="33"/>
      <c r="H275" s="33"/>
      <c r="I275" s="59"/>
      <c r="J275" s="81" t="s">
        <v>68</v>
      </c>
      <c r="K275" s="77" t="s">
        <v>69</v>
      </c>
      <c r="L275" s="76">
        <v>6</v>
      </c>
      <c r="M275" s="78">
        <v>176256</v>
      </c>
      <c r="N275" s="76">
        <v>32607</v>
      </c>
      <c r="O275" s="27">
        <f t="shared" si="4"/>
        <v>195644.16</v>
      </c>
    </row>
    <row r="276" spans="1:15" ht="12.2" customHeight="1" x14ac:dyDescent="0.25">
      <c r="A276" s="28"/>
      <c r="B276" s="33"/>
      <c r="C276" s="33"/>
      <c r="D276" s="33"/>
      <c r="E276" s="33"/>
      <c r="F276" s="33"/>
      <c r="G276" s="33"/>
      <c r="H276" s="33"/>
      <c r="I276" s="59"/>
      <c r="J276" s="77" t="s">
        <v>80</v>
      </c>
      <c r="K276" s="75" t="s">
        <v>81</v>
      </c>
      <c r="L276" s="78">
        <v>12</v>
      </c>
      <c r="M276" s="76">
        <v>171360</v>
      </c>
      <c r="N276" s="80">
        <v>15851</v>
      </c>
      <c r="O276" s="27">
        <f t="shared" si="4"/>
        <v>190209.6</v>
      </c>
    </row>
    <row r="277" spans="1:15" ht="12.2" customHeight="1" x14ac:dyDescent="0.25">
      <c r="A277" s="28"/>
      <c r="B277" s="33"/>
      <c r="C277" s="33"/>
      <c r="D277" s="33"/>
      <c r="E277" s="33"/>
      <c r="F277" s="33"/>
      <c r="G277" s="33"/>
      <c r="H277" s="33"/>
      <c r="I277" s="59"/>
      <c r="J277" s="81" t="s">
        <v>35</v>
      </c>
      <c r="K277" s="77" t="s">
        <v>36</v>
      </c>
      <c r="L277" s="76">
        <v>24</v>
      </c>
      <c r="M277" s="78">
        <v>342720</v>
      </c>
      <c r="N277" s="76">
        <v>15851</v>
      </c>
      <c r="O277" s="27">
        <f t="shared" si="4"/>
        <v>380419.2</v>
      </c>
    </row>
    <row r="278" spans="1:15" ht="12.2" customHeight="1" x14ac:dyDescent="0.25">
      <c r="A278" s="28"/>
      <c r="B278" s="33"/>
      <c r="C278" s="33"/>
      <c r="D278" s="33"/>
      <c r="E278" s="33"/>
      <c r="F278" s="33"/>
      <c r="G278" s="33"/>
      <c r="H278" s="33"/>
      <c r="I278" s="59"/>
      <c r="J278" s="77" t="s">
        <v>82</v>
      </c>
      <c r="K278" s="75" t="s">
        <v>83</v>
      </c>
      <c r="L278" s="78">
        <v>12</v>
      </c>
      <c r="M278" s="76">
        <v>257040</v>
      </c>
      <c r="N278" s="80">
        <v>23776</v>
      </c>
      <c r="O278" s="27">
        <f t="shared" si="4"/>
        <v>285314.40000000002</v>
      </c>
    </row>
    <row r="279" spans="1:15" ht="12.2" customHeight="1" x14ac:dyDescent="0.25">
      <c r="A279" s="28"/>
      <c r="B279" s="33"/>
      <c r="C279" s="33"/>
      <c r="D279" s="33"/>
      <c r="E279" s="33"/>
      <c r="F279" s="33"/>
      <c r="G279" s="33"/>
      <c r="H279" s="33"/>
      <c r="I279" s="59"/>
      <c r="J279" s="81" t="s">
        <v>37</v>
      </c>
      <c r="K279" s="77" t="s">
        <v>38</v>
      </c>
      <c r="L279" s="76">
        <v>24</v>
      </c>
      <c r="M279" s="78">
        <v>514080</v>
      </c>
      <c r="N279" s="76">
        <v>23776</v>
      </c>
      <c r="O279" s="27">
        <f t="shared" si="4"/>
        <v>570628.80000000005</v>
      </c>
    </row>
    <row r="280" spans="1:15" ht="12.2" customHeight="1" x14ac:dyDescent="0.25">
      <c r="A280" s="28"/>
      <c r="B280" s="33"/>
      <c r="C280" s="33"/>
      <c r="D280" s="33"/>
      <c r="E280" s="33"/>
      <c r="F280" s="33"/>
      <c r="G280" s="33"/>
      <c r="H280" s="33"/>
      <c r="I280" s="59"/>
      <c r="J280" s="77" t="s">
        <v>27</v>
      </c>
      <c r="K280" s="75" t="s">
        <v>28</v>
      </c>
      <c r="L280" s="78">
        <v>12</v>
      </c>
      <c r="M280" s="76">
        <v>494496</v>
      </c>
      <c r="N280" s="80">
        <v>45741</v>
      </c>
      <c r="O280" s="27">
        <f t="shared" si="4"/>
        <v>548890.56000000006</v>
      </c>
    </row>
    <row r="281" spans="1:15" ht="12.2" customHeight="1" x14ac:dyDescent="0.25">
      <c r="A281" s="28"/>
      <c r="B281" s="33"/>
      <c r="C281" s="33"/>
      <c r="D281" s="33"/>
      <c r="E281" s="33"/>
      <c r="F281" s="33"/>
      <c r="G281" s="33"/>
      <c r="H281" s="33"/>
      <c r="I281" s="59"/>
      <c r="J281" s="81" t="s">
        <v>309</v>
      </c>
      <c r="K281" s="77" t="s">
        <v>310</v>
      </c>
      <c r="L281" s="76">
        <v>4</v>
      </c>
      <c r="M281" s="78">
        <v>292536</v>
      </c>
      <c r="N281" s="76">
        <v>81179</v>
      </c>
      <c r="O281" s="27">
        <f t="shared" si="4"/>
        <v>324714.96000000002</v>
      </c>
    </row>
    <row r="282" spans="1:15" ht="12.2" customHeight="1" x14ac:dyDescent="0.25">
      <c r="A282" s="28"/>
      <c r="B282" s="33"/>
      <c r="C282" s="33"/>
      <c r="D282" s="33"/>
      <c r="E282" s="33"/>
      <c r="F282" s="33"/>
      <c r="G282" s="33"/>
      <c r="H282" s="33"/>
      <c r="I282" s="59"/>
      <c r="J282" s="77" t="s">
        <v>144</v>
      </c>
      <c r="K282" s="43" t="s">
        <v>145</v>
      </c>
      <c r="L282" s="78">
        <v>12</v>
      </c>
      <c r="M282" s="44">
        <v>184824</v>
      </c>
      <c r="N282" s="80">
        <v>17096</v>
      </c>
      <c r="O282" s="27">
        <f t="shared" si="4"/>
        <v>205154.64</v>
      </c>
    </row>
    <row r="283" spans="1:15" ht="12.2" customHeight="1" x14ac:dyDescent="0.25">
      <c r="A283" s="28"/>
      <c r="B283" s="33"/>
      <c r="C283" s="33"/>
      <c r="D283" s="34"/>
      <c r="E283" s="34"/>
      <c r="F283" s="34"/>
      <c r="G283" s="34"/>
      <c r="H283" s="34"/>
      <c r="I283" s="36"/>
      <c r="J283" s="61" t="s">
        <v>56</v>
      </c>
      <c r="K283" s="22" t="s">
        <v>57</v>
      </c>
      <c r="L283" s="44">
        <v>12</v>
      </c>
      <c r="M283" s="24">
        <v>184824</v>
      </c>
      <c r="N283" s="44">
        <v>17096</v>
      </c>
      <c r="O283" s="27">
        <f t="shared" si="4"/>
        <v>205154.64</v>
      </c>
    </row>
    <row r="284" spans="1:15" ht="12.2" customHeight="1" x14ac:dyDescent="0.25">
      <c r="A284" s="28"/>
      <c r="B284" s="33"/>
      <c r="C284" s="33"/>
      <c r="D284" s="31" t="s">
        <v>395</v>
      </c>
      <c r="E284" s="31" t="s">
        <v>396</v>
      </c>
      <c r="F284" s="31" t="s">
        <v>397</v>
      </c>
      <c r="G284" s="31" t="s">
        <v>320</v>
      </c>
      <c r="H284" s="31" t="s">
        <v>320</v>
      </c>
      <c r="I284" s="35" t="s">
        <v>26</v>
      </c>
      <c r="J284" s="22" t="s">
        <v>35</v>
      </c>
      <c r="K284" s="23" t="s">
        <v>36</v>
      </c>
      <c r="L284" s="24">
        <v>180</v>
      </c>
      <c r="M284" s="25">
        <v>2518992</v>
      </c>
      <c r="N284" s="26">
        <v>15851</v>
      </c>
      <c r="O284" s="27">
        <f t="shared" si="4"/>
        <v>2796081.12</v>
      </c>
    </row>
    <row r="285" spans="1:15" ht="12.2" customHeight="1" x14ac:dyDescent="0.25">
      <c r="A285" s="28"/>
      <c r="B285" s="33"/>
      <c r="C285" s="33"/>
      <c r="D285" s="33"/>
      <c r="E285" s="33"/>
      <c r="F285" s="33"/>
      <c r="G285" s="33"/>
      <c r="H285" s="33"/>
      <c r="I285" s="59"/>
      <c r="J285" s="37" t="s">
        <v>37</v>
      </c>
      <c r="K285" s="22" t="s">
        <v>38</v>
      </c>
      <c r="L285" s="25">
        <v>180</v>
      </c>
      <c r="M285" s="24">
        <v>3778488</v>
      </c>
      <c r="N285" s="25">
        <v>23776</v>
      </c>
      <c r="O285" s="27">
        <f t="shared" si="4"/>
        <v>4194121.68</v>
      </c>
    </row>
    <row r="286" spans="1:15" ht="12.2" customHeight="1" x14ac:dyDescent="0.25">
      <c r="A286" s="28"/>
      <c r="B286" s="33"/>
      <c r="C286" s="33"/>
      <c r="D286" s="34"/>
      <c r="E286" s="34"/>
      <c r="F286" s="34"/>
      <c r="G286" s="34"/>
      <c r="H286" s="34"/>
      <c r="I286" s="36"/>
      <c r="J286" s="22" t="s">
        <v>27</v>
      </c>
      <c r="K286" s="23" t="s">
        <v>28</v>
      </c>
      <c r="L286" s="24">
        <v>90</v>
      </c>
      <c r="M286" s="25">
        <v>3634546</v>
      </c>
      <c r="N286" s="26">
        <v>45741</v>
      </c>
      <c r="O286" s="27">
        <f t="shared" si="4"/>
        <v>4034346.0600000005</v>
      </c>
    </row>
    <row r="287" spans="1:15" ht="12.2" customHeight="1" x14ac:dyDescent="0.25">
      <c r="A287" s="28"/>
      <c r="B287" s="33"/>
      <c r="C287" s="33"/>
      <c r="D287" s="31" t="s">
        <v>398</v>
      </c>
      <c r="E287" s="31" t="s">
        <v>399</v>
      </c>
      <c r="F287" s="31" t="s">
        <v>400</v>
      </c>
      <c r="G287" s="31" t="s">
        <v>401</v>
      </c>
      <c r="H287" s="31" t="s">
        <v>366</v>
      </c>
      <c r="I287" s="31" t="s">
        <v>112</v>
      </c>
      <c r="J287" s="23" t="s">
        <v>183</v>
      </c>
      <c r="K287" s="22" t="s">
        <v>184</v>
      </c>
      <c r="L287" s="25">
        <v>12</v>
      </c>
      <c r="M287" s="24">
        <v>75888</v>
      </c>
      <c r="N287" s="25">
        <v>7020</v>
      </c>
      <c r="O287" s="27">
        <f t="shared" si="4"/>
        <v>84235.680000000008</v>
      </c>
    </row>
    <row r="288" spans="1:15" ht="12.2" customHeight="1" x14ac:dyDescent="0.25">
      <c r="A288" s="28"/>
      <c r="B288" s="33"/>
      <c r="C288" s="33"/>
      <c r="D288" s="33"/>
      <c r="E288" s="33"/>
      <c r="F288" s="33"/>
      <c r="G288" s="33"/>
      <c r="H288" s="33"/>
      <c r="I288" s="33"/>
      <c r="J288" s="22" t="s">
        <v>35</v>
      </c>
      <c r="K288" s="23" t="s">
        <v>36</v>
      </c>
      <c r="L288" s="24">
        <v>36</v>
      </c>
      <c r="M288" s="25">
        <v>514080</v>
      </c>
      <c r="N288" s="26">
        <v>15851</v>
      </c>
      <c r="O288" s="27">
        <f t="shared" si="4"/>
        <v>570628.80000000005</v>
      </c>
    </row>
    <row r="289" spans="1:15" ht="12.2" customHeight="1" x14ac:dyDescent="0.25">
      <c r="A289" s="28"/>
      <c r="B289" s="33"/>
      <c r="C289" s="33"/>
      <c r="D289" s="33"/>
      <c r="E289" s="33"/>
      <c r="F289" s="33"/>
      <c r="G289" s="33"/>
      <c r="H289" s="33"/>
      <c r="I289" s="33"/>
      <c r="J289" s="23" t="s">
        <v>37</v>
      </c>
      <c r="K289" s="22" t="s">
        <v>38</v>
      </c>
      <c r="L289" s="25">
        <v>36</v>
      </c>
      <c r="M289" s="24">
        <v>771120</v>
      </c>
      <c r="N289" s="25">
        <v>23776</v>
      </c>
      <c r="O289" s="27">
        <f t="shared" si="4"/>
        <v>855943.20000000007</v>
      </c>
    </row>
    <row r="290" spans="1:15" ht="12.2" customHeight="1" x14ac:dyDescent="0.25">
      <c r="A290" s="28"/>
      <c r="B290" s="33"/>
      <c r="C290" s="33"/>
      <c r="D290" s="33"/>
      <c r="E290" s="33"/>
      <c r="F290" s="33"/>
      <c r="G290" s="33"/>
      <c r="H290" s="33"/>
      <c r="I290" s="33"/>
      <c r="J290" s="22" t="s">
        <v>27</v>
      </c>
      <c r="K290" s="23" t="s">
        <v>28</v>
      </c>
      <c r="L290" s="24">
        <v>12</v>
      </c>
      <c r="M290" s="25">
        <v>494496</v>
      </c>
      <c r="N290" s="26">
        <v>45741</v>
      </c>
      <c r="O290" s="27">
        <f t="shared" si="4"/>
        <v>548890.56000000006</v>
      </c>
    </row>
    <row r="291" spans="1:15" ht="12.2" customHeight="1" x14ac:dyDescent="0.25">
      <c r="A291" s="28"/>
      <c r="B291" s="33"/>
      <c r="C291" s="34"/>
      <c r="D291" s="34"/>
      <c r="E291" s="34"/>
      <c r="F291" s="34"/>
      <c r="G291" s="34"/>
      <c r="H291" s="34"/>
      <c r="I291" s="34"/>
      <c r="J291" s="38" t="s">
        <v>90</v>
      </c>
      <c r="K291" s="22" t="s">
        <v>91</v>
      </c>
      <c r="L291" s="39">
        <v>72</v>
      </c>
      <c r="M291" s="24">
        <v>286416</v>
      </c>
      <c r="N291" s="39">
        <v>4416</v>
      </c>
      <c r="O291" s="27">
        <f t="shared" si="4"/>
        <v>317921.76</v>
      </c>
    </row>
    <row r="292" spans="1:15" ht="12.2" customHeight="1" x14ac:dyDescent="0.25">
      <c r="A292" s="28"/>
      <c r="B292" s="33"/>
      <c r="C292" s="67" t="s">
        <v>402</v>
      </c>
      <c r="D292" s="38" t="s">
        <v>403</v>
      </c>
      <c r="E292" s="22" t="s">
        <v>404</v>
      </c>
      <c r="F292" s="23" t="s">
        <v>405</v>
      </c>
      <c r="G292" s="20"/>
      <c r="H292" s="23" t="s">
        <v>371</v>
      </c>
      <c r="I292" s="22" t="s">
        <v>26</v>
      </c>
      <c r="J292" s="23" t="s">
        <v>35</v>
      </c>
      <c r="K292" s="22" t="s">
        <v>36</v>
      </c>
      <c r="L292" s="25">
        <v>60</v>
      </c>
      <c r="M292" s="24">
        <v>856800</v>
      </c>
      <c r="N292" s="25">
        <v>15851</v>
      </c>
      <c r="O292" s="27">
        <f t="shared" si="4"/>
        <v>951048.00000000012</v>
      </c>
    </row>
    <row r="293" spans="1:15" ht="12.2" customHeight="1" x14ac:dyDescent="0.25">
      <c r="A293" s="28"/>
      <c r="B293" s="33"/>
      <c r="C293" s="30" t="s">
        <v>218</v>
      </c>
      <c r="D293" s="31" t="s">
        <v>406</v>
      </c>
      <c r="E293" s="31" t="s">
        <v>407</v>
      </c>
      <c r="F293" s="31" t="s">
        <v>408</v>
      </c>
      <c r="G293" s="31" t="s">
        <v>409</v>
      </c>
      <c r="H293" s="31" t="s">
        <v>366</v>
      </c>
      <c r="I293" s="31" t="s">
        <v>270</v>
      </c>
      <c r="J293" s="23" t="s">
        <v>35</v>
      </c>
      <c r="K293" s="22" t="s">
        <v>36</v>
      </c>
      <c r="L293" s="25">
        <v>12</v>
      </c>
      <c r="M293" s="24">
        <v>171360</v>
      </c>
      <c r="N293" s="25">
        <v>15851</v>
      </c>
      <c r="O293" s="27">
        <f t="shared" si="4"/>
        <v>190209.6</v>
      </c>
    </row>
    <row r="294" spans="1:15" ht="12.2" customHeight="1" x14ac:dyDescent="0.25">
      <c r="A294" s="28"/>
      <c r="B294" s="33"/>
      <c r="C294" s="33"/>
      <c r="D294" s="33"/>
      <c r="E294" s="33"/>
      <c r="F294" s="33"/>
      <c r="G294" s="33"/>
      <c r="H294" s="33"/>
      <c r="I294" s="33"/>
      <c r="J294" s="22" t="s">
        <v>37</v>
      </c>
      <c r="K294" s="43" t="s">
        <v>38</v>
      </c>
      <c r="L294" s="24">
        <v>12</v>
      </c>
      <c r="M294" s="44">
        <v>257040</v>
      </c>
      <c r="N294" s="26">
        <v>23776</v>
      </c>
      <c r="O294" s="27">
        <f t="shared" si="4"/>
        <v>285314.40000000002</v>
      </c>
    </row>
    <row r="295" spans="1:15" ht="12.2" customHeight="1" x14ac:dyDescent="0.25">
      <c r="A295" s="28"/>
      <c r="B295" s="33"/>
      <c r="C295" s="33"/>
      <c r="D295" s="34"/>
      <c r="E295" s="34"/>
      <c r="F295" s="34"/>
      <c r="G295" s="34"/>
      <c r="H295" s="34"/>
      <c r="I295" s="34"/>
      <c r="J295" s="43" t="s">
        <v>27</v>
      </c>
      <c r="K295" s="22" t="s">
        <v>28</v>
      </c>
      <c r="L295" s="44">
        <v>6</v>
      </c>
      <c r="M295" s="24">
        <v>247248</v>
      </c>
      <c r="N295" s="44">
        <v>45741</v>
      </c>
      <c r="O295" s="27">
        <f t="shared" si="4"/>
        <v>274445.28000000003</v>
      </c>
    </row>
    <row r="296" spans="1:15" ht="12.2" customHeight="1" x14ac:dyDescent="0.25">
      <c r="A296" s="28"/>
      <c r="B296" s="33"/>
      <c r="C296" s="33"/>
      <c r="D296" s="31" t="s">
        <v>410</v>
      </c>
      <c r="E296" s="31" t="s">
        <v>340</v>
      </c>
      <c r="F296" s="31" t="s">
        <v>341</v>
      </c>
      <c r="G296" s="31" t="s">
        <v>342</v>
      </c>
      <c r="H296" s="31" t="s">
        <v>343</v>
      </c>
      <c r="I296" s="35" t="s">
        <v>97</v>
      </c>
      <c r="J296" s="22" t="s">
        <v>90</v>
      </c>
      <c r="K296" s="43" t="s">
        <v>91</v>
      </c>
      <c r="L296" s="24">
        <v>12</v>
      </c>
      <c r="M296" s="44">
        <v>47736</v>
      </c>
      <c r="N296" s="26">
        <v>4416</v>
      </c>
      <c r="O296" s="27">
        <f t="shared" si="4"/>
        <v>52986.960000000006</v>
      </c>
    </row>
    <row r="297" spans="1:15" ht="12.2" customHeight="1" x14ac:dyDescent="0.25">
      <c r="A297" s="28"/>
      <c r="B297" s="33"/>
      <c r="C297" s="33"/>
      <c r="D297" s="34"/>
      <c r="E297" s="34"/>
      <c r="F297" s="34"/>
      <c r="G297" s="34"/>
      <c r="H297" s="34"/>
      <c r="I297" s="36"/>
      <c r="J297" s="61" t="s">
        <v>56</v>
      </c>
      <c r="K297" s="22" t="s">
        <v>57</v>
      </c>
      <c r="L297" s="44">
        <v>24</v>
      </c>
      <c r="M297" s="24">
        <v>369648</v>
      </c>
      <c r="N297" s="44">
        <v>17096</v>
      </c>
      <c r="O297" s="27">
        <f t="shared" si="4"/>
        <v>410309.28</v>
      </c>
    </row>
    <row r="298" spans="1:15" ht="12.2" customHeight="1" x14ac:dyDescent="0.25">
      <c r="A298" s="28"/>
      <c r="B298" s="33"/>
      <c r="C298" s="33"/>
      <c r="D298" s="31" t="s">
        <v>411</v>
      </c>
      <c r="E298" s="31" t="s">
        <v>412</v>
      </c>
      <c r="F298" s="31" t="s">
        <v>413</v>
      </c>
      <c r="G298" s="31" t="s">
        <v>414</v>
      </c>
      <c r="H298" s="31" t="s">
        <v>366</v>
      </c>
      <c r="I298" s="35" t="s">
        <v>26</v>
      </c>
      <c r="J298" s="22" t="s">
        <v>134</v>
      </c>
      <c r="K298" s="43" t="s">
        <v>135</v>
      </c>
      <c r="L298" s="24">
        <v>12</v>
      </c>
      <c r="M298" s="44">
        <v>260712</v>
      </c>
      <c r="N298" s="26">
        <v>24116</v>
      </c>
      <c r="O298" s="27">
        <f t="shared" si="4"/>
        <v>289390.32</v>
      </c>
    </row>
    <row r="299" spans="1:15" ht="12.2" customHeight="1" x14ac:dyDescent="0.25">
      <c r="A299" s="28"/>
      <c r="B299" s="33"/>
      <c r="C299" s="33"/>
      <c r="D299" s="33"/>
      <c r="E299" s="33"/>
      <c r="F299" s="33"/>
      <c r="G299" s="33"/>
      <c r="H299" s="33"/>
      <c r="I299" s="59"/>
      <c r="J299" s="61" t="s">
        <v>181</v>
      </c>
      <c r="K299" s="22" t="s">
        <v>182</v>
      </c>
      <c r="L299" s="44">
        <v>12</v>
      </c>
      <c r="M299" s="24">
        <v>75888</v>
      </c>
      <c r="N299" s="44">
        <v>7020</v>
      </c>
      <c r="O299" s="27">
        <f t="shared" si="4"/>
        <v>84235.680000000008</v>
      </c>
    </row>
    <row r="300" spans="1:15" ht="12.2" customHeight="1" x14ac:dyDescent="0.25">
      <c r="A300" s="28"/>
      <c r="B300" s="33"/>
      <c r="C300" s="33"/>
      <c r="D300" s="33"/>
      <c r="E300" s="33"/>
      <c r="F300" s="33"/>
      <c r="G300" s="33"/>
      <c r="H300" s="33"/>
      <c r="I300" s="59"/>
      <c r="J300" s="22" t="s">
        <v>183</v>
      </c>
      <c r="K300" s="43" t="s">
        <v>184</v>
      </c>
      <c r="L300" s="24">
        <v>12</v>
      </c>
      <c r="M300" s="44">
        <v>75888</v>
      </c>
      <c r="N300" s="26">
        <v>7020</v>
      </c>
      <c r="O300" s="27">
        <f t="shared" si="4"/>
        <v>84235.680000000008</v>
      </c>
    </row>
    <row r="301" spans="1:15" ht="12.2" customHeight="1" x14ac:dyDescent="0.25">
      <c r="A301" s="28"/>
      <c r="B301" s="33"/>
      <c r="C301" s="33"/>
      <c r="D301" s="33"/>
      <c r="E301" s="33"/>
      <c r="F301" s="33"/>
      <c r="G301" s="33"/>
      <c r="H301" s="33"/>
      <c r="I301" s="59"/>
      <c r="J301" s="61" t="s">
        <v>332</v>
      </c>
      <c r="K301" s="22" t="s">
        <v>333</v>
      </c>
      <c r="L301" s="44">
        <v>6</v>
      </c>
      <c r="M301" s="24">
        <v>176256</v>
      </c>
      <c r="N301" s="44">
        <v>32607</v>
      </c>
      <c r="O301" s="27">
        <f t="shared" si="4"/>
        <v>195644.16</v>
      </c>
    </row>
    <row r="302" spans="1:15" ht="12.2" customHeight="1" x14ac:dyDescent="0.25">
      <c r="A302" s="28"/>
      <c r="B302" s="33"/>
      <c r="C302" s="33"/>
      <c r="D302" s="33"/>
      <c r="E302" s="33"/>
      <c r="F302" s="33"/>
      <c r="G302" s="33"/>
      <c r="H302" s="33"/>
      <c r="I302" s="59"/>
      <c r="J302" s="22" t="s">
        <v>64</v>
      </c>
      <c r="K302" s="43" t="s">
        <v>65</v>
      </c>
      <c r="L302" s="24">
        <v>6</v>
      </c>
      <c r="M302" s="44">
        <v>176256</v>
      </c>
      <c r="N302" s="26">
        <v>32607</v>
      </c>
      <c r="O302" s="27">
        <f t="shared" si="4"/>
        <v>195644.16</v>
      </c>
    </row>
    <row r="303" spans="1:15" ht="12.2" customHeight="1" x14ac:dyDescent="0.25">
      <c r="A303" s="28"/>
      <c r="B303" s="33"/>
      <c r="C303" s="33"/>
      <c r="D303" s="33"/>
      <c r="E303" s="33"/>
      <c r="F303" s="33"/>
      <c r="G303" s="33"/>
      <c r="H303" s="33"/>
      <c r="I303" s="59"/>
      <c r="J303" s="61" t="s">
        <v>142</v>
      </c>
      <c r="K303" s="22" t="s">
        <v>143</v>
      </c>
      <c r="L303" s="44">
        <v>6</v>
      </c>
      <c r="M303" s="24">
        <v>176256</v>
      </c>
      <c r="N303" s="44">
        <v>32607</v>
      </c>
      <c r="O303" s="27">
        <f t="shared" si="4"/>
        <v>195644.16</v>
      </c>
    </row>
    <row r="304" spans="1:15" ht="12.2" customHeight="1" x14ac:dyDescent="0.25">
      <c r="A304" s="28"/>
      <c r="B304" s="33"/>
      <c r="C304" s="33"/>
      <c r="D304" s="33"/>
      <c r="E304" s="33"/>
      <c r="F304" s="33"/>
      <c r="G304" s="33"/>
      <c r="H304" s="33"/>
      <c r="I304" s="59"/>
      <c r="J304" s="22" t="s">
        <v>66</v>
      </c>
      <c r="K304" s="43" t="s">
        <v>67</v>
      </c>
      <c r="L304" s="24">
        <v>6</v>
      </c>
      <c r="M304" s="44">
        <v>176256</v>
      </c>
      <c r="N304" s="26">
        <v>32607</v>
      </c>
      <c r="O304" s="27">
        <f t="shared" si="4"/>
        <v>195644.16</v>
      </c>
    </row>
    <row r="305" spans="1:15" ht="12.2" customHeight="1" x14ac:dyDescent="0.25">
      <c r="A305" s="28"/>
      <c r="B305" s="33"/>
      <c r="C305" s="33"/>
      <c r="D305" s="33"/>
      <c r="E305" s="33"/>
      <c r="F305" s="33"/>
      <c r="G305" s="33"/>
      <c r="H305" s="33"/>
      <c r="I305" s="59"/>
      <c r="J305" s="47" t="s">
        <v>68</v>
      </c>
      <c r="K305" s="22" t="s">
        <v>69</v>
      </c>
      <c r="L305" s="44">
        <v>6</v>
      </c>
      <c r="M305" s="24">
        <v>176256</v>
      </c>
      <c r="N305" s="44">
        <v>32607</v>
      </c>
      <c r="O305" s="27">
        <f t="shared" si="4"/>
        <v>195644.16</v>
      </c>
    </row>
    <row r="306" spans="1:15" ht="12.2" customHeight="1" x14ac:dyDescent="0.25">
      <c r="A306" s="28"/>
      <c r="B306" s="33"/>
      <c r="C306" s="33"/>
      <c r="D306" s="33"/>
      <c r="E306" s="33"/>
      <c r="F306" s="33"/>
      <c r="G306" s="33"/>
      <c r="H306" s="33"/>
      <c r="I306" s="59"/>
      <c r="J306" s="22" t="s">
        <v>70</v>
      </c>
      <c r="K306" s="43" t="s">
        <v>71</v>
      </c>
      <c r="L306" s="24">
        <v>6</v>
      </c>
      <c r="M306" s="44">
        <v>106488</v>
      </c>
      <c r="N306" s="26">
        <v>19700</v>
      </c>
      <c r="O306" s="27">
        <f t="shared" si="4"/>
        <v>118201.68000000001</v>
      </c>
    </row>
    <row r="307" spans="1:15" ht="12.2" customHeight="1" x14ac:dyDescent="0.25">
      <c r="A307" s="28"/>
      <c r="B307" s="33"/>
      <c r="C307" s="33"/>
      <c r="D307" s="33"/>
      <c r="E307" s="33"/>
      <c r="F307" s="33"/>
      <c r="G307" s="33"/>
      <c r="H307" s="33"/>
      <c r="I307" s="59"/>
      <c r="J307" s="47" t="s">
        <v>72</v>
      </c>
      <c r="K307" s="22" t="s">
        <v>73</v>
      </c>
      <c r="L307" s="44">
        <v>6</v>
      </c>
      <c r="M307" s="24">
        <v>106488</v>
      </c>
      <c r="N307" s="44">
        <v>19700</v>
      </c>
      <c r="O307" s="27">
        <f t="shared" si="4"/>
        <v>118201.68000000001</v>
      </c>
    </row>
    <row r="308" spans="1:15" ht="12.2" customHeight="1" x14ac:dyDescent="0.25">
      <c r="A308" s="28"/>
      <c r="B308" s="33"/>
      <c r="C308" s="33"/>
      <c r="D308" s="33"/>
      <c r="E308" s="33"/>
      <c r="F308" s="33"/>
      <c r="G308" s="33"/>
      <c r="H308" s="33"/>
      <c r="I308" s="59"/>
      <c r="J308" s="22" t="s">
        <v>74</v>
      </c>
      <c r="K308" s="43" t="s">
        <v>75</v>
      </c>
      <c r="L308" s="24">
        <v>6</v>
      </c>
      <c r="M308" s="44">
        <v>106488</v>
      </c>
      <c r="N308" s="26">
        <v>19700</v>
      </c>
      <c r="O308" s="27">
        <f t="shared" si="4"/>
        <v>118201.68000000001</v>
      </c>
    </row>
    <row r="309" spans="1:15" ht="12.2" customHeight="1" x14ac:dyDescent="0.25">
      <c r="A309" s="28"/>
      <c r="B309" s="33"/>
      <c r="C309" s="33"/>
      <c r="D309" s="33"/>
      <c r="E309" s="33"/>
      <c r="F309" s="33"/>
      <c r="G309" s="33"/>
      <c r="H309" s="33"/>
      <c r="I309" s="59"/>
      <c r="J309" s="47" t="s">
        <v>76</v>
      </c>
      <c r="K309" s="22" t="s">
        <v>77</v>
      </c>
      <c r="L309" s="44">
        <v>6</v>
      </c>
      <c r="M309" s="24">
        <v>106488</v>
      </c>
      <c r="N309" s="44">
        <v>19700</v>
      </c>
      <c r="O309" s="27">
        <f t="shared" si="4"/>
        <v>118201.68000000001</v>
      </c>
    </row>
    <row r="310" spans="1:15" ht="12.2" customHeight="1" x14ac:dyDescent="0.25">
      <c r="A310" s="28"/>
      <c r="B310" s="33"/>
      <c r="C310" s="33"/>
      <c r="D310" s="33"/>
      <c r="E310" s="33"/>
      <c r="F310" s="33"/>
      <c r="G310" s="33"/>
      <c r="H310" s="33"/>
      <c r="I310" s="59"/>
      <c r="J310" s="22" t="s">
        <v>78</v>
      </c>
      <c r="K310" s="43" t="s">
        <v>79</v>
      </c>
      <c r="L310" s="24">
        <v>6</v>
      </c>
      <c r="M310" s="44">
        <v>106488</v>
      </c>
      <c r="N310" s="26">
        <v>19700</v>
      </c>
      <c r="O310" s="27">
        <f t="shared" si="4"/>
        <v>118201.68000000001</v>
      </c>
    </row>
    <row r="311" spans="1:15" ht="12.2" customHeight="1" x14ac:dyDescent="0.25">
      <c r="A311" s="28"/>
      <c r="B311" s="33"/>
      <c r="C311" s="33"/>
      <c r="D311" s="33"/>
      <c r="E311" s="33"/>
      <c r="F311" s="33"/>
      <c r="G311" s="33"/>
      <c r="H311" s="33"/>
      <c r="I311" s="59"/>
      <c r="J311" s="47" t="s">
        <v>35</v>
      </c>
      <c r="K311" s="22" t="s">
        <v>36</v>
      </c>
      <c r="L311" s="44">
        <v>12</v>
      </c>
      <c r="M311" s="24">
        <v>171360</v>
      </c>
      <c r="N311" s="44">
        <v>15851</v>
      </c>
      <c r="O311" s="27">
        <f t="shared" si="4"/>
        <v>190209.6</v>
      </c>
    </row>
    <row r="312" spans="1:15" ht="12.2" customHeight="1" x14ac:dyDescent="0.25">
      <c r="A312" s="28"/>
      <c r="B312" s="33"/>
      <c r="C312" s="33"/>
      <c r="D312" s="33"/>
      <c r="E312" s="33"/>
      <c r="F312" s="33"/>
      <c r="G312" s="33"/>
      <c r="H312" s="33"/>
      <c r="I312" s="59"/>
      <c r="J312" s="22" t="s">
        <v>37</v>
      </c>
      <c r="K312" s="43" t="s">
        <v>38</v>
      </c>
      <c r="L312" s="24">
        <v>12</v>
      </c>
      <c r="M312" s="44">
        <v>257040</v>
      </c>
      <c r="N312" s="26">
        <v>23776</v>
      </c>
      <c r="O312" s="27">
        <f t="shared" si="4"/>
        <v>285314.40000000002</v>
      </c>
    </row>
    <row r="313" spans="1:15" ht="12.2" customHeight="1" x14ac:dyDescent="0.25">
      <c r="A313" s="28"/>
      <c r="B313" s="33"/>
      <c r="C313" s="34"/>
      <c r="D313" s="34"/>
      <c r="E313" s="34"/>
      <c r="F313" s="34"/>
      <c r="G313" s="34"/>
      <c r="H313" s="34"/>
      <c r="I313" s="36"/>
      <c r="J313" s="48" t="s">
        <v>27</v>
      </c>
      <c r="K313" s="22" t="s">
        <v>28</v>
      </c>
      <c r="L313" s="46">
        <v>6</v>
      </c>
      <c r="M313" s="24">
        <v>247248</v>
      </c>
      <c r="N313" s="46">
        <v>45741</v>
      </c>
      <c r="O313" s="27">
        <f t="shared" si="4"/>
        <v>274445.28000000003</v>
      </c>
    </row>
    <row r="314" spans="1:15" ht="12.2" customHeight="1" x14ac:dyDescent="0.25">
      <c r="A314" s="28"/>
      <c r="B314" s="33"/>
      <c r="C314" s="30" t="s">
        <v>185</v>
      </c>
      <c r="D314" s="31" t="s">
        <v>415</v>
      </c>
      <c r="E314" s="31" t="s">
        <v>416</v>
      </c>
      <c r="F314" s="31" t="s">
        <v>417</v>
      </c>
      <c r="G314" s="31" t="s">
        <v>418</v>
      </c>
      <c r="H314" s="31" t="s">
        <v>376</v>
      </c>
      <c r="I314" s="31" t="s">
        <v>26</v>
      </c>
      <c r="J314" s="49" t="s">
        <v>35</v>
      </c>
      <c r="K314" s="22" t="s">
        <v>36</v>
      </c>
      <c r="L314" s="50">
        <v>252</v>
      </c>
      <c r="M314" s="24">
        <v>3358656</v>
      </c>
      <c r="N314" s="50">
        <v>31702</v>
      </c>
      <c r="O314" s="27">
        <f t="shared" si="4"/>
        <v>3728108.16</v>
      </c>
    </row>
    <row r="315" spans="1:15" ht="12.2" customHeight="1" x14ac:dyDescent="0.25">
      <c r="A315" s="28"/>
      <c r="B315" s="33"/>
      <c r="C315" s="33"/>
      <c r="D315" s="33"/>
      <c r="E315" s="33"/>
      <c r="F315" s="33"/>
      <c r="G315" s="33"/>
      <c r="H315" s="33"/>
      <c r="I315" s="33"/>
      <c r="J315" s="22" t="s">
        <v>37</v>
      </c>
      <c r="K315" s="43" t="s">
        <v>38</v>
      </c>
      <c r="L315" s="24">
        <v>504</v>
      </c>
      <c r="M315" s="44">
        <v>10075968</v>
      </c>
      <c r="N315" s="26">
        <v>47552</v>
      </c>
      <c r="O315" s="27">
        <f t="shared" si="4"/>
        <v>11184324.48</v>
      </c>
    </row>
    <row r="316" spans="1:15" ht="12.2" customHeight="1" x14ac:dyDescent="0.25">
      <c r="A316" s="28"/>
      <c r="B316" s="33"/>
      <c r="C316" s="33"/>
      <c r="D316" s="33"/>
      <c r="E316" s="33"/>
      <c r="F316" s="33"/>
      <c r="G316" s="33"/>
      <c r="H316" s="33"/>
      <c r="I316" s="33"/>
      <c r="J316" s="43" t="s">
        <v>27</v>
      </c>
      <c r="K316" s="22" t="s">
        <v>28</v>
      </c>
      <c r="L316" s="44">
        <v>126</v>
      </c>
      <c r="M316" s="24">
        <v>4846061</v>
      </c>
      <c r="N316" s="44">
        <v>91482</v>
      </c>
      <c r="O316" s="27">
        <f t="shared" si="4"/>
        <v>5379127.7100000009</v>
      </c>
    </row>
    <row r="317" spans="1:15" ht="12.2" customHeight="1" x14ac:dyDescent="0.25">
      <c r="A317" s="28"/>
      <c r="B317" s="33"/>
      <c r="C317" s="34"/>
      <c r="D317" s="34"/>
      <c r="E317" s="34"/>
      <c r="F317" s="34"/>
      <c r="G317" s="34"/>
      <c r="H317" s="34"/>
      <c r="I317" s="34"/>
      <c r="J317" s="42" t="s">
        <v>90</v>
      </c>
      <c r="K317" s="43" t="s">
        <v>91</v>
      </c>
      <c r="L317" s="24">
        <v>252</v>
      </c>
      <c r="M317" s="39">
        <v>935626</v>
      </c>
      <c r="N317" s="26">
        <v>8831</v>
      </c>
      <c r="O317" s="27">
        <f t="shared" si="4"/>
        <v>1038544.8600000001</v>
      </c>
    </row>
    <row r="318" spans="1:15" ht="12.2" customHeight="1" x14ac:dyDescent="0.25">
      <c r="A318" s="28"/>
      <c r="B318" s="33"/>
      <c r="C318" s="72" t="s">
        <v>419</v>
      </c>
      <c r="D318" s="22" t="s">
        <v>420</v>
      </c>
      <c r="E318" s="45" t="s">
        <v>421</v>
      </c>
      <c r="F318" s="22" t="s">
        <v>422</v>
      </c>
      <c r="G318" s="45" t="s">
        <v>423</v>
      </c>
      <c r="H318" s="22" t="s">
        <v>366</v>
      </c>
      <c r="I318" s="45" t="s">
        <v>26</v>
      </c>
      <c r="J318" s="22" t="s">
        <v>37</v>
      </c>
      <c r="K318" s="38" t="s">
        <v>38</v>
      </c>
      <c r="L318" s="24">
        <v>24</v>
      </c>
      <c r="M318" s="39">
        <v>514081</v>
      </c>
      <c r="N318" s="26">
        <v>23776</v>
      </c>
      <c r="O318" s="27">
        <f t="shared" si="4"/>
        <v>570629.91</v>
      </c>
    </row>
    <row r="319" spans="1:15" ht="12.2" customHeight="1" x14ac:dyDescent="0.25">
      <c r="A319" s="28"/>
      <c r="B319" s="33"/>
      <c r="C319" s="30" t="s">
        <v>194</v>
      </c>
      <c r="D319" s="31" t="s">
        <v>424</v>
      </c>
      <c r="E319" s="31" t="s">
        <v>425</v>
      </c>
      <c r="F319" s="31" t="s">
        <v>426</v>
      </c>
      <c r="G319" s="31" t="s">
        <v>427</v>
      </c>
      <c r="H319" s="31" t="s">
        <v>298</v>
      </c>
      <c r="I319" s="31" t="s">
        <v>428</v>
      </c>
      <c r="J319" s="22" t="s">
        <v>80</v>
      </c>
      <c r="K319" s="23" t="s">
        <v>81</v>
      </c>
      <c r="L319" s="24">
        <v>60</v>
      </c>
      <c r="M319" s="25">
        <v>839664</v>
      </c>
      <c r="N319" s="26">
        <v>15851</v>
      </c>
      <c r="O319" s="27">
        <f t="shared" si="4"/>
        <v>932027.04</v>
      </c>
    </row>
    <row r="320" spans="1:15" ht="12.2" customHeight="1" x14ac:dyDescent="0.25">
      <c r="A320" s="28"/>
      <c r="B320" s="33"/>
      <c r="C320" s="33"/>
      <c r="D320" s="33"/>
      <c r="E320" s="33"/>
      <c r="F320" s="33"/>
      <c r="G320" s="33"/>
      <c r="H320" s="33"/>
      <c r="I320" s="33"/>
      <c r="J320" s="41" t="s">
        <v>35</v>
      </c>
      <c r="K320" s="22" t="s">
        <v>36</v>
      </c>
      <c r="L320" s="25">
        <v>60</v>
      </c>
      <c r="M320" s="24">
        <v>839664</v>
      </c>
      <c r="N320" s="25">
        <v>15851</v>
      </c>
      <c r="O320" s="27">
        <f t="shared" si="4"/>
        <v>932027.04</v>
      </c>
    </row>
    <row r="321" spans="1:15" ht="12.2" customHeight="1" x14ac:dyDescent="0.25">
      <c r="A321" s="28"/>
      <c r="B321" s="33"/>
      <c r="C321" s="33"/>
      <c r="D321" s="33"/>
      <c r="E321" s="33"/>
      <c r="F321" s="33"/>
      <c r="G321" s="33"/>
      <c r="H321" s="33"/>
      <c r="I321" s="33"/>
      <c r="J321" s="22" t="s">
        <v>104</v>
      </c>
      <c r="K321" s="23" t="s">
        <v>105</v>
      </c>
      <c r="L321" s="24">
        <v>30</v>
      </c>
      <c r="M321" s="25">
        <v>1211515</v>
      </c>
      <c r="N321" s="26">
        <v>45741</v>
      </c>
      <c r="O321" s="27">
        <f t="shared" si="4"/>
        <v>1344781.6500000001</v>
      </c>
    </row>
    <row r="322" spans="1:15" ht="12.2" customHeight="1" x14ac:dyDescent="0.25">
      <c r="A322" s="28"/>
      <c r="B322" s="33"/>
      <c r="C322" s="33"/>
      <c r="D322" s="33"/>
      <c r="E322" s="33"/>
      <c r="F322" s="33"/>
      <c r="G322" s="33"/>
      <c r="H322" s="33"/>
      <c r="I322" s="33"/>
      <c r="J322" s="41" t="s">
        <v>27</v>
      </c>
      <c r="K322" s="22" t="s">
        <v>28</v>
      </c>
      <c r="L322" s="25">
        <v>60</v>
      </c>
      <c r="M322" s="24">
        <v>2423031</v>
      </c>
      <c r="N322" s="25">
        <v>45741</v>
      </c>
      <c r="O322" s="27">
        <f t="shared" si="4"/>
        <v>2689564.41</v>
      </c>
    </row>
    <row r="323" spans="1:15" ht="12.2" customHeight="1" x14ac:dyDescent="0.25">
      <c r="A323" s="28"/>
      <c r="B323" s="33"/>
      <c r="C323" s="33"/>
      <c r="D323" s="33"/>
      <c r="E323" s="33"/>
      <c r="F323" s="33"/>
      <c r="G323" s="33"/>
      <c r="H323" s="33"/>
      <c r="I323" s="33"/>
      <c r="J323" s="22" t="s">
        <v>307</v>
      </c>
      <c r="K323" s="23" t="s">
        <v>308</v>
      </c>
      <c r="L323" s="24">
        <v>8</v>
      </c>
      <c r="M323" s="25">
        <v>573371</v>
      </c>
      <c r="N323" s="26">
        <v>81179</v>
      </c>
      <c r="O323" s="27">
        <f t="shared" si="4"/>
        <v>636441.81000000006</v>
      </c>
    </row>
    <row r="324" spans="1:15" ht="12.2" customHeight="1" x14ac:dyDescent="0.25">
      <c r="A324" s="28"/>
      <c r="B324" s="33"/>
      <c r="C324" s="33"/>
      <c r="D324" s="33"/>
      <c r="E324" s="33"/>
      <c r="F324" s="33"/>
      <c r="G324" s="33"/>
      <c r="H324" s="33"/>
      <c r="I324" s="33"/>
      <c r="J324" s="41" t="s">
        <v>309</v>
      </c>
      <c r="K324" s="22" t="s">
        <v>310</v>
      </c>
      <c r="L324" s="25">
        <v>8</v>
      </c>
      <c r="M324" s="24">
        <v>573371</v>
      </c>
      <c r="N324" s="25">
        <v>81179</v>
      </c>
      <c r="O324" s="27">
        <f t="shared" si="4"/>
        <v>636441.81000000006</v>
      </c>
    </row>
    <row r="325" spans="1:15" ht="12.2" customHeight="1" x14ac:dyDescent="0.25">
      <c r="A325" s="28"/>
      <c r="B325" s="33"/>
      <c r="C325" s="33"/>
      <c r="D325" s="33"/>
      <c r="E325" s="33"/>
      <c r="F325" s="33"/>
      <c r="G325" s="33"/>
      <c r="H325" s="33"/>
      <c r="I325" s="33"/>
      <c r="J325" s="22" t="s">
        <v>144</v>
      </c>
      <c r="K325" s="23" t="s">
        <v>145</v>
      </c>
      <c r="L325" s="24">
        <v>24</v>
      </c>
      <c r="M325" s="25">
        <v>362255</v>
      </c>
      <c r="N325" s="26">
        <v>17096</v>
      </c>
      <c r="O325" s="27">
        <f t="shared" si="4"/>
        <v>402103.05000000005</v>
      </c>
    </row>
    <row r="326" spans="1:15" ht="12.2" customHeight="1" x14ac:dyDescent="0.25">
      <c r="A326" s="28"/>
      <c r="B326" s="33"/>
      <c r="C326" s="34"/>
      <c r="D326" s="34"/>
      <c r="E326" s="34"/>
      <c r="F326" s="34"/>
      <c r="G326" s="34"/>
      <c r="H326" s="34"/>
      <c r="I326" s="34"/>
      <c r="J326" s="82" t="s">
        <v>56</v>
      </c>
      <c r="K326" s="22" t="s">
        <v>57</v>
      </c>
      <c r="L326" s="25">
        <v>24</v>
      </c>
      <c r="M326" s="24">
        <v>362255</v>
      </c>
      <c r="N326" s="25">
        <v>17096</v>
      </c>
      <c r="O326" s="27">
        <f t="shared" si="4"/>
        <v>402103.05000000005</v>
      </c>
    </row>
    <row r="327" spans="1:15" ht="12.2" customHeight="1" x14ac:dyDescent="0.25">
      <c r="A327" s="28"/>
      <c r="B327" s="33"/>
      <c r="C327" s="30" t="s">
        <v>429</v>
      </c>
      <c r="D327" s="31" t="s">
        <v>430</v>
      </c>
      <c r="E327" s="31" t="s">
        <v>431</v>
      </c>
      <c r="F327" s="31" t="s">
        <v>432</v>
      </c>
      <c r="G327" s="31" t="s">
        <v>433</v>
      </c>
      <c r="H327" s="31" t="s">
        <v>315</v>
      </c>
      <c r="I327" s="31" t="s">
        <v>26</v>
      </c>
      <c r="J327" s="23" t="s">
        <v>241</v>
      </c>
      <c r="K327" s="22" t="s">
        <v>242</v>
      </c>
      <c r="L327" s="65">
        <v>-1</v>
      </c>
      <c r="M327" s="63">
        <v>-17526</v>
      </c>
      <c r="N327" s="25">
        <v>24116</v>
      </c>
      <c r="O327" s="27">
        <f t="shared" ref="O327:O390" si="5">M327*1.11</f>
        <v>-19453.86</v>
      </c>
    </row>
    <row r="328" spans="1:15" ht="12.2" customHeight="1" x14ac:dyDescent="0.25">
      <c r="A328" s="28"/>
      <c r="B328" s="33"/>
      <c r="C328" s="33"/>
      <c r="D328" s="33"/>
      <c r="E328" s="33"/>
      <c r="F328" s="33"/>
      <c r="G328" s="33"/>
      <c r="H328" s="33"/>
      <c r="I328" s="33"/>
      <c r="J328" s="22" t="s">
        <v>132</v>
      </c>
      <c r="K328" s="43" t="s">
        <v>133</v>
      </c>
      <c r="L328" s="63">
        <v>-2</v>
      </c>
      <c r="M328" s="64">
        <v>-35052</v>
      </c>
      <c r="N328" s="26">
        <v>24116</v>
      </c>
      <c r="O328" s="27">
        <f t="shared" si="5"/>
        <v>-38907.72</v>
      </c>
    </row>
    <row r="329" spans="1:15" ht="12.2" customHeight="1" x14ac:dyDescent="0.25">
      <c r="A329" s="28"/>
      <c r="B329" s="33"/>
      <c r="C329" s="33"/>
      <c r="D329" s="34"/>
      <c r="E329" s="34"/>
      <c r="F329" s="34"/>
      <c r="G329" s="34"/>
      <c r="H329" s="34"/>
      <c r="I329" s="34"/>
      <c r="J329" s="43" t="s">
        <v>246</v>
      </c>
      <c r="K329" s="22" t="s">
        <v>247</v>
      </c>
      <c r="L329" s="64">
        <v>-3</v>
      </c>
      <c r="M329" s="63">
        <v>-38165</v>
      </c>
      <c r="N329" s="44">
        <v>18455</v>
      </c>
      <c r="O329" s="27">
        <f t="shared" si="5"/>
        <v>-42363.15</v>
      </c>
    </row>
    <row r="330" spans="1:15" ht="12.2" customHeight="1" x14ac:dyDescent="0.25">
      <c r="A330" s="28"/>
      <c r="B330" s="34"/>
      <c r="C330" s="34"/>
      <c r="D330" s="42" t="s">
        <v>434</v>
      </c>
      <c r="E330" s="23" t="s">
        <v>348</v>
      </c>
      <c r="F330" s="22" t="s">
        <v>302</v>
      </c>
      <c r="G330" s="23" t="s">
        <v>349</v>
      </c>
      <c r="H330" s="22" t="s">
        <v>62</v>
      </c>
      <c r="I330" s="43" t="s">
        <v>305</v>
      </c>
      <c r="J330" s="22" t="s">
        <v>64</v>
      </c>
      <c r="K330" s="43" t="s">
        <v>65</v>
      </c>
      <c r="L330" s="63">
        <v>-1</v>
      </c>
      <c r="M330" s="64">
        <v>-27181</v>
      </c>
      <c r="N330" s="26">
        <v>32607</v>
      </c>
      <c r="O330" s="27">
        <f t="shared" si="5"/>
        <v>-30170.910000000003</v>
      </c>
    </row>
    <row r="331" spans="1:15" ht="12.2" customHeight="1" x14ac:dyDescent="0.25">
      <c r="A331" s="28"/>
      <c r="B331" s="31" t="s">
        <v>435</v>
      </c>
      <c r="C331" s="67" t="s">
        <v>21</v>
      </c>
      <c r="D331" s="45" t="s">
        <v>436</v>
      </c>
      <c r="E331" s="22" t="s">
        <v>437</v>
      </c>
      <c r="F331" s="45" t="s">
        <v>438</v>
      </c>
      <c r="G331" s="22" t="s">
        <v>439</v>
      </c>
      <c r="H331" s="45" t="s">
        <v>440</v>
      </c>
      <c r="I331" s="22" t="s">
        <v>305</v>
      </c>
      <c r="J331" s="45" t="s">
        <v>37</v>
      </c>
      <c r="K331" s="22" t="s">
        <v>38</v>
      </c>
      <c r="L331" s="46">
        <v>288</v>
      </c>
      <c r="M331" s="24">
        <v>5675897</v>
      </c>
      <c r="N331" s="46">
        <v>23776</v>
      </c>
      <c r="O331" s="27">
        <f t="shared" si="5"/>
        <v>6300245.6700000009</v>
      </c>
    </row>
    <row r="332" spans="1:15" ht="12.2" customHeight="1" x14ac:dyDescent="0.25">
      <c r="A332" s="28"/>
      <c r="B332" s="33"/>
      <c r="C332" s="30" t="s">
        <v>54</v>
      </c>
      <c r="D332" s="31" t="s">
        <v>441</v>
      </c>
      <c r="E332" s="31" t="s">
        <v>442</v>
      </c>
      <c r="F332" s="31" t="s">
        <v>443</v>
      </c>
      <c r="G332" s="31" t="s">
        <v>444</v>
      </c>
      <c r="H332" s="31" t="s">
        <v>371</v>
      </c>
      <c r="I332" s="31" t="s">
        <v>305</v>
      </c>
      <c r="J332" s="23" t="s">
        <v>68</v>
      </c>
      <c r="K332" s="22" t="s">
        <v>69</v>
      </c>
      <c r="L332" s="25">
        <v>12</v>
      </c>
      <c r="M332" s="24">
        <v>335232</v>
      </c>
      <c r="N332" s="25">
        <v>32607</v>
      </c>
      <c r="O332" s="27">
        <f t="shared" si="5"/>
        <v>372107.52000000002</v>
      </c>
    </row>
    <row r="333" spans="1:15" ht="12.2" customHeight="1" x14ac:dyDescent="0.25">
      <c r="A333" s="28"/>
      <c r="B333" s="33"/>
      <c r="C333" s="33"/>
      <c r="D333" s="33"/>
      <c r="E333" s="33"/>
      <c r="F333" s="33"/>
      <c r="G333" s="33"/>
      <c r="H333" s="33"/>
      <c r="I333" s="33"/>
      <c r="J333" s="22" t="s">
        <v>445</v>
      </c>
      <c r="K333" s="43" t="s">
        <v>446</v>
      </c>
      <c r="L333" s="24">
        <v>12</v>
      </c>
      <c r="M333" s="44">
        <v>213012</v>
      </c>
      <c r="N333" s="26">
        <v>20719</v>
      </c>
      <c r="O333" s="27">
        <f t="shared" si="5"/>
        <v>236443.32</v>
      </c>
    </row>
    <row r="334" spans="1:15" ht="12.2" customHeight="1" x14ac:dyDescent="0.25">
      <c r="A334" s="28"/>
      <c r="B334" s="33"/>
      <c r="C334" s="33"/>
      <c r="D334" s="33"/>
      <c r="E334" s="33"/>
      <c r="F334" s="33"/>
      <c r="G334" s="33"/>
      <c r="H334" s="33"/>
      <c r="I334" s="33"/>
      <c r="J334" s="43" t="s">
        <v>80</v>
      </c>
      <c r="K334" s="22" t="s">
        <v>81</v>
      </c>
      <c r="L334" s="44">
        <v>12</v>
      </c>
      <c r="M334" s="24">
        <v>162960</v>
      </c>
      <c r="N334" s="44">
        <v>15851</v>
      </c>
      <c r="O334" s="27">
        <f t="shared" si="5"/>
        <v>180885.6</v>
      </c>
    </row>
    <row r="335" spans="1:15" ht="12.2" customHeight="1" x14ac:dyDescent="0.25">
      <c r="A335" s="28"/>
      <c r="B335" s="33"/>
      <c r="C335" s="33"/>
      <c r="D335" s="33"/>
      <c r="E335" s="33"/>
      <c r="F335" s="33"/>
      <c r="G335" s="33"/>
      <c r="H335" s="33"/>
      <c r="I335" s="33"/>
      <c r="J335" s="22" t="s">
        <v>104</v>
      </c>
      <c r="K335" s="43" t="s">
        <v>105</v>
      </c>
      <c r="L335" s="24">
        <v>6</v>
      </c>
      <c r="M335" s="44">
        <v>235128</v>
      </c>
      <c r="N335" s="26">
        <v>45741</v>
      </c>
      <c r="O335" s="27">
        <f t="shared" si="5"/>
        <v>260992.08000000002</v>
      </c>
    </row>
    <row r="336" spans="1:15" ht="12.2" customHeight="1" x14ac:dyDescent="0.25">
      <c r="A336" s="28"/>
      <c r="B336" s="33"/>
      <c r="C336" s="33"/>
      <c r="D336" s="33"/>
      <c r="E336" s="33"/>
      <c r="F336" s="33"/>
      <c r="G336" s="33"/>
      <c r="H336" s="33"/>
      <c r="I336" s="33"/>
      <c r="J336" s="43" t="s">
        <v>27</v>
      </c>
      <c r="K336" s="22" t="s">
        <v>28</v>
      </c>
      <c r="L336" s="44">
        <v>6</v>
      </c>
      <c r="M336" s="24">
        <v>235128</v>
      </c>
      <c r="N336" s="44">
        <v>45741</v>
      </c>
      <c r="O336" s="27">
        <f t="shared" si="5"/>
        <v>260992.08000000002</v>
      </c>
    </row>
    <row r="337" spans="1:15" ht="12.2" customHeight="1" x14ac:dyDescent="0.25">
      <c r="A337" s="28"/>
      <c r="B337" s="33"/>
      <c r="C337" s="33"/>
      <c r="D337" s="34"/>
      <c r="E337" s="34"/>
      <c r="F337" s="34"/>
      <c r="G337" s="34"/>
      <c r="H337" s="34"/>
      <c r="I337" s="34"/>
      <c r="J337" s="22" t="s">
        <v>309</v>
      </c>
      <c r="K337" s="43" t="s">
        <v>310</v>
      </c>
      <c r="L337" s="24">
        <v>4</v>
      </c>
      <c r="M337" s="44">
        <v>278196</v>
      </c>
      <c r="N337" s="26">
        <v>81179</v>
      </c>
      <c r="O337" s="27">
        <f t="shared" si="5"/>
        <v>308797.56000000006</v>
      </c>
    </row>
    <row r="338" spans="1:15" ht="12.2" customHeight="1" x14ac:dyDescent="0.25">
      <c r="A338" s="28"/>
      <c r="B338" s="33"/>
      <c r="C338" s="33"/>
      <c r="D338" s="31" t="s">
        <v>447</v>
      </c>
      <c r="E338" s="31" t="s">
        <v>448</v>
      </c>
      <c r="F338" s="31" t="s">
        <v>449</v>
      </c>
      <c r="G338" s="31" t="s">
        <v>450</v>
      </c>
      <c r="H338" s="31" t="s">
        <v>48</v>
      </c>
      <c r="I338" s="31" t="s">
        <v>305</v>
      </c>
      <c r="J338" s="43" t="s">
        <v>70</v>
      </c>
      <c r="K338" s="22" t="s">
        <v>71</v>
      </c>
      <c r="L338" s="25">
        <v>24</v>
      </c>
      <c r="M338" s="24">
        <v>405072</v>
      </c>
      <c r="N338" s="25">
        <v>19700</v>
      </c>
      <c r="O338" s="27">
        <f t="shared" si="5"/>
        <v>449629.92000000004</v>
      </c>
    </row>
    <row r="339" spans="1:15" ht="12.2" customHeight="1" x14ac:dyDescent="0.25">
      <c r="A339" s="28"/>
      <c r="B339" s="33"/>
      <c r="C339" s="33"/>
      <c r="D339" s="33"/>
      <c r="E339" s="33"/>
      <c r="F339" s="33"/>
      <c r="G339" s="33"/>
      <c r="H339" s="33"/>
      <c r="I339" s="33"/>
      <c r="J339" s="22" t="s">
        <v>445</v>
      </c>
      <c r="K339" s="23" t="s">
        <v>446</v>
      </c>
      <c r="L339" s="24">
        <v>24</v>
      </c>
      <c r="M339" s="25">
        <v>426024</v>
      </c>
      <c r="N339" s="26">
        <v>20719</v>
      </c>
      <c r="O339" s="27">
        <f t="shared" si="5"/>
        <v>472886.64</v>
      </c>
    </row>
    <row r="340" spans="1:15" ht="12.2" customHeight="1" x14ac:dyDescent="0.25">
      <c r="A340" s="28"/>
      <c r="B340" s="33"/>
      <c r="C340" s="33"/>
      <c r="D340" s="33"/>
      <c r="E340" s="33"/>
      <c r="F340" s="33"/>
      <c r="G340" s="33"/>
      <c r="H340" s="33"/>
      <c r="I340" s="33"/>
      <c r="J340" s="23" t="s">
        <v>80</v>
      </c>
      <c r="K340" s="22" t="s">
        <v>81</v>
      </c>
      <c r="L340" s="25">
        <v>12</v>
      </c>
      <c r="M340" s="24">
        <v>162960</v>
      </c>
      <c r="N340" s="25">
        <v>15851</v>
      </c>
      <c r="O340" s="27">
        <f t="shared" si="5"/>
        <v>180885.6</v>
      </c>
    </row>
    <row r="341" spans="1:15" ht="12.2" customHeight="1" x14ac:dyDescent="0.25">
      <c r="A341" s="28"/>
      <c r="B341" s="33"/>
      <c r="C341" s="33"/>
      <c r="D341" s="33"/>
      <c r="E341" s="33"/>
      <c r="F341" s="33"/>
      <c r="G341" s="33"/>
      <c r="H341" s="33"/>
      <c r="I341" s="33"/>
      <c r="J341" s="22" t="s">
        <v>82</v>
      </c>
      <c r="K341" s="23" t="s">
        <v>83</v>
      </c>
      <c r="L341" s="24">
        <v>24</v>
      </c>
      <c r="M341" s="25">
        <v>439992</v>
      </c>
      <c r="N341" s="26">
        <v>23776</v>
      </c>
      <c r="O341" s="27">
        <f t="shared" si="5"/>
        <v>488391.12000000005</v>
      </c>
    </row>
    <row r="342" spans="1:15" ht="12.2" customHeight="1" x14ac:dyDescent="0.25">
      <c r="A342" s="28"/>
      <c r="B342" s="33"/>
      <c r="C342" s="33"/>
      <c r="D342" s="33"/>
      <c r="E342" s="33"/>
      <c r="F342" s="33"/>
      <c r="G342" s="33"/>
      <c r="H342" s="33"/>
      <c r="I342" s="33"/>
      <c r="J342" s="23" t="s">
        <v>37</v>
      </c>
      <c r="K342" s="22" t="s">
        <v>38</v>
      </c>
      <c r="L342" s="25">
        <v>60</v>
      </c>
      <c r="M342" s="24">
        <v>1099980</v>
      </c>
      <c r="N342" s="25">
        <v>23776</v>
      </c>
      <c r="O342" s="27">
        <f t="shared" si="5"/>
        <v>1220977.8</v>
      </c>
    </row>
    <row r="343" spans="1:15" ht="12.2" customHeight="1" x14ac:dyDescent="0.25">
      <c r="A343" s="28"/>
      <c r="B343" s="33"/>
      <c r="C343" s="33"/>
      <c r="D343" s="33"/>
      <c r="E343" s="33"/>
      <c r="F343" s="33"/>
      <c r="G343" s="33"/>
      <c r="H343" s="33"/>
      <c r="I343" s="33"/>
      <c r="J343" s="22" t="s">
        <v>104</v>
      </c>
      <c r="K343" s="23" t="s">
        <v>105</v>
      </c>
      <c r="L343" s="24">
        <v>6</v>
      </c>
      <c r="M343" s="25">
        <v>235128</v>
      </c>
      <c r="N343" s="26">
        <v>45741</v>
      </c>
      <c r="O343" s="27">
        <f t="shared" si="5"/>
        <v>260992.08000000002</v>
      </c>
    </row>
    <row r="344" spans="1:15" ht="12.2" customHeight="1" x14ac:dyDescent="0.25">
      <c r="A344" s="28"/>
      <c r="B344" s="33"/>
      <c r="C344" s="33"/>
      <c r="D344" s="33"/>
      <c r="E344" s="33"/>
      <c r="F344" s="33"/>
      <c r="G344" s="33"/>
      <c r="H344" s="33"/>
      <c r="I344" s="33"/>
      <c r="J344" s="23" t="s">
        <v>27</v>
      </c>
      <c r="K344" s="22" t="s">
        <v>28</v>
      </c>
      <c r="L344" s="25">
        <v>18</v>
      </c>
      <c r="M344" s="24">
        <v>705384</v>
      </c>
      <c r="N344" s="25">
        <v>45741</v>
      </c>
      <c r="O344" s="27">
        <f t="shared" si="5"/>
        <v>782976.24000000011</v>
      </c>
    </row>
    <row r="345" spans="1:15" ht="12.2" customHeight="1" x14ac:dyDescent="0.25">
      <c r="A345" s="28"/>
      <c r="B345" s="33"/>
      <c r="C345" s="33"/>
      <c r="D345" s="33"/>
      <c r="E345" s="33"/>
      <c r="F345" s="33"/>
      <c r="G345" s="33"/>
      <c r="H345" s="33"/>
      <c r="I345" s="33"/>
      <c r="J345" s="22" t="s">
        <v>309</v>
      </c>
      <c r="K345" s="23" t="s">
        <v>310</v>
      </c>
      <c r="L345" s="24">
        <v>4</v>
      </c>
      <c r="M345" s="25">
        <v>278196</v>
      </c>
      <c r="N345" s="26">
        <v>81179</v>
      </c>
      <c r="O345" s="27">
        <f t="shared" si="5"/>
        <v>308797.56000000006</v>
      </c>
    </row>
    <row r="346" spans="1:15" ht="12.2" customHeight="1" x14ac:dyDescent="0.25">
      <c r="A346" s="28"/>
      <c r="B346" s="33"/>
      <c r="C346" s="33"/>
      <c r="D346" s="34"/>
      <c r="E346" s="34"/>
      <c r="F346" s="34"/>
      <c r="G346" s="34"/>
      <c r="H346" s="34"/>
      <c r="I346" s="34"/>
      <c r="J346" s="23" t="s">
        <v>144</v>
      </c>
      <c r="K346" s="22" t="s">
        <v>145</v>
      </c>
      <c r="L346" s="25">
        <v>36</v>
      </c>
      <c r="M346" s="24">
        <v>527292</v>
      </c>
      <c r="N346" s="25">
        <v>17096</v>
      </c>
      <c r="O346" s="27">
        <f t="shared" si="5"/>
        <v>585294.12</v>
      </c>
    </row>
    <row r="347" spans="1:15" ht="12.2" customHeight="1" x14ac:dyDescent="0.25">
      <c r="A347" s="28"/>
      <c r="B347" s="33"/>
      <c r="C347" s="33"/>
      <c r="D347" s="31" t="s">
        <v>451</v>
      </c>
      <c r="E347" s="31" t="s">
        <v>452</v>
      </c>
      <c r="F347" s="31" t="s">
        <v>449</v>
      </c>
      <c r="G347" s="31" t="s">
        <v>343</v>
      </c>
      <c r="H347" s="31" t="s">
        <v>343</v>
      </c>
      <c r="I347" s="35" t="s">
        <v>305</v>
      </c>
      <c r="J347" s="22" t="s">
        <v>72</v>
      </c>
      <c r="K347" s="23" t="s">
        <v>73</v>
      </c>
      <c r="L347" s="24">
        <v>24</v>
      </c>
      <c r="M347" s="25">
        <v>405072</v>
      </c>
      <c r="N347" s="26">
        <v>19700</v>
      </c>
      <c r="O347" s="27">
        <f t="shared" si="5"/>
        <v>449629.92000000004</v>
      </c>
    </row>
    <row r="348" spans="1:15" ht="12.2" customHeight="1" x14ac:dyDescent="0.25">
      <c r="A348" s="28"/>
      <c r="B348" s="33"/>
      <c r="C348" s="33"/>
      <c r="D348" s="33"/>
      <c r="E348" s="33"/>
      <c r="F348" s="33"/>
      <c r="G348" s="33"/>
      <c r="H348" s="33"/>
      <c r="I348" s="59"/>
      <c r="J348" s="37" t="s">
        <v>78</v>
      </c>
      <c r="K348" s="22" t="s">
        <v>79</v>
      </c>
      <c r="L348" s="25">
        <v>12</v>
      </c>
      <c r="M348" s="24">
        <v>202536</v>
      </c>
      <c r="N348" s="25">
        <v>19700</v>
      </c>
      <c r="O348" s="27">
        <f t="shared" si="5"/>
        <v>224814.96000000002</v>
      </c>
    </row>
    <row r="349" spans="1:15" ht="12.2" customHeight="1" x14ac:dyDescent="0.25">
      <c r="A349" s="28"/>
      <c r="B349" s="33"/>
      <c r="C349" s="33"/>
      <c r="D349" s="33"/>
      <c r="E349" s="33"/>
      <c r="F349" s="33"/>
      <c r="G349" s="33"/>
      <c r="H349" s="33"/>
      <c r="I349" s="59"/>
      <c r="J349" s="22" t="s">
        <v>445</v>
      </c>
      <c r="K349" s="23" t="s">
        <v>446</v>
      </c>
      <c r="L349" s="24">
        <v>12</v>
      </c>
      <c r="M349" s="25">
        <v>213012</v>
      </c>
      <c r="N349" s="26">
        <v>20719</v>
      </c>
      <c r="O349" s="27">
        <f t="shared" si="5"/>
        <v>236443.32</v>
      </c>
    </row>
    <row r="350" spans="1:15" ht="12.2" customHeight="1" x14ac:dyDescent="0.25">
      <c r="A350" s="28"/>
      <c r="B350" s="33"/>
      <c r="C350" s="33"/>
      <c r="D350" s="33"/>
      <c r="E350" s="33"/>
      <c r="F350" s="33"/>
      <c r="G350" s="33"/>
      <c r="H350" s="33"/>
      <c r="I350" s="59"/>
      <c r="J350" s="41" t="s">
        <v>35</v>
      </c>
      <c r="K350" s="22" t="s">
        <v>36</v>
      </c>
      <c r="L350" s="44">
        <v>12</v>
      </c>
      <c r="M350" s="24">
        <v>162960</v>
      </c>
      <c r="N350" s="44">
        <v>15851</v>
      </c>
      <c r="O350" s="27">
        <f t="shared" si="5"/>
        <v>180885.6</v>
      </c>
    </row>
    <row r="351" spans="1:15" ht="12.2" customHeight="1" x14ac:dyDescent="0.25">
      <c r="A351" s="28"/>
      <c r="B351" s="33"/>
      <c r="C351" s="33"/>
      <c r="D351" s="33"/>
      <c r="E351" s="33"/>
      <c r="F351" s="33"/>
      <c r="G351" s="33"/>
      <c r="H351" s="33"/>
      <c r="I351" s="59"/>
      <c r="J351" s="22" t="s">
        <v>82</v>
      </c>
      <c r="K351" s="43" t="s">
        <v>83</v>
      </c>
      <c r="L351" s="24">
        <v>12</v>
      </c>
      <c r="M351" s="44">
        <v>219996</v>
      </c>
      <c r="N351" s="26">
        <v>23776</v>
      </c>
      <c r="O351" s="27">
        <f t="shared" si="5"/>
        <v>244195.56000000003</v>
      </c>
    </row>
    <row r="352" spans="1:15" ht="12.2" customHeight="1" x14ac:dyDescent="0.25">
      <c r="A352" s="28"/>
      <c r="B352" s="33"/>
      <c r="C352" s="33"/>
      <c r="D352" s="33"/>
      <c r="E352" s="33"/>
      <c r="F352" s="33"/>
      <c r="G352" s="33"/>
      <c r="H352" s="33"/>
      <c r="I352" s="59"/>
      <c r="J352" s="47" t="s">
        <v>37</v>
      </c>
      <c r="K352" s="22" t="s">
        <v>38</v>
      </c>
      <c r="L352" s="44">
        <v>12</v>
      </c>
      <c r="M352" s="24">
        <v>219996</v>
      </c>
      <c r="N352" s="44">
        <v>23776</v>
      </c>
      <c r="O352" s="27">
        <f t="shared" si="5"/>
        <v>244195.56000000003</v>
      </c>
    </row>
    <row r="353" spans="1:15" ht="12.2" customHeight="1" x14ac:dyDescent="0.25">
      <c r="A353" s="28"/>
      <c r="B353" s="33"/>
      <c r="C353" s="33"/>
      <c r="D353" s="33"/>
      <c r="E353" s="33"/>
      <c r="F353" s="33"/>
      <c r="G353" s="33"/>
      <c r="H353" s="33"/>
      <c r="I353" s="59"/>
      <c r="J353" s="22" t="s">
        <v>27</v>
      </c>
      <c r="K353" s="43" t="s">
        <v>28</v>
      </c>
      <c r="L353" s="24">
        <v>6</v>
      </c>
      <c r="M353" s="44">
        <v>235128</v>
      </c>
      <c r="N353" s="26">
        <v>45741</v>
      </c>
      <c r="O353" s="27">
        <f t="shared" si="5"/>
        <v>260992.08000000002</v>
      </c>
    </row>
    <row r="354" spans="1:15" ht="12.2" customHeight="1" x14ac:dyDescent="0.25">
      <c r="A354" s="28"/>
      <c r="B354" s="33"/>
      <c r="C354" s="33"/>
      <c r="D354" s="34"/>
      <c r="E354" s="34"/>
      <c r="F354" s="34"/>
      <c r="G354" s="34"/>
      <c r="H354" s="34"/>
      <c r="I354" s="36"/>
      <c r="J354" s="47" t="s">
        <v>56</v>
      </c>
      <c r="K354" s="22" t="s">
        <v>57</v>
      </c>
      <c r="L354" s="44">
        <v>24</v>
      </c>
      <c r="M354" s="24">
        <v>351528</v>
      </c>
      <c r="N354" s="44">
        <v>17096</v>
      </c>
      <c r="O354" s="27">
        <f t="shared" si="5"/>
        <v>390196.08</v>
      </c>
    </row>
    <row r="355" spans="1:15" ht="12.2" customHeight="1" x14ac:dyDescent="0.25">
      <c r="A355" s="28"/>
      <c r="B355" s="33"/>
      <c r="C355" s="33"/>
      <c r="D355" s="31" t="s">
        <v>453</v>
      </c>
      <c r="E355" s="31" t="s">
        <v>454</v>
      </c>
      <c r="F355" s="31" t="s">
        <v>449</v>
      </c>
      <c r="G355" s="31" t="s">
        <v>455</v>
      </c>
      <c r="H355" s="31" t="s">
        <v>269</v>
      </c>
      <c r="I355" s="31" t="s">
        <v>305</v>
      </c>
      <c r="J355" s="22" t="s">
        <v>72</v>
      </c>
      <c r="K355" s="43" t="s">
        <v>73</v>
      </c>
      <c r="L355" s="24">
        <v>24</v>
      </c>
      <c r="M355" s="44">
        <v>405072</v>
      </c>
      <c r="N355" s="26">
        <v>19700</v>
      </c>
      <c r="O355" s="27">
        <f t="shared" si="5"/>
        <v>449629.92000000004</v>
      </c>
    </row>
    <row r="356" spans="1:15" ht="12.2" customHeight="1" x14ac:dyDescent="0.25">
      <c r="A356" s="28"/>
      <c r="B356" s="33"/>
      <c r="C356" s="33"/>
      <c r="D356" s="33"/>
      <c r="E356" s="33"/>
      <c r="F356" s="33"/>
      <c r="G356" s="33"/>
      <c r="H356" s="33"/>
      <c r="I356" s="33"/>
      <c r="J356" s="47" t="s">
        <v>76</v>
      </c>
      <c r="K356" s="22" t="s">
        <v>77</v>
      </c>
      <c r="L356" s="44">
        <v>12</v>
      </c>
      <c r="M356" s="24">
        <v>202536</v>
      </c>
      <c r="N356" s="44">
        <v>19700</v>
      </c>
      <c r="O356" s="27">
        <f t="shared" si="5"/>
        <v>224814.96000000002</v>
      </c>
    </row>
    <row r="357" spans="1:15" ht="12.2" customHeight="1" x14ac:dyDescent="0.25">
      <c r="A357" s="28"/>
      <c r="B357" s="33"/>
      <c r="C357" s="33"/>
      <c r="D357" s="33"/>
      <c r="E357" s="33"/>
      <c r="F357" s="33"/>
      <c r="G357" s="33"/>
      <c r="H357" s="33"/>
      <c r="I357" s="33"/>
      <c r="J357" s="22" t="s">
        <v>445</v>
      </c>
      <c r="K357" s="43" t="s">
        <v>446</v>
      </c>
      <c r="L357" s="24">
        <v>12</v>
      </c>
      <c r="M357" s="44">
        <v>213012</v>
      </c>
      <c r="N357" s="26">
        <v>20719</v>
      </c>
      <c r="O357" s="27">
        <f t="shared" si="5"/>
        <v>236443.32</v>
      </c>
    </row>
    <row r="358" spans="1:15" ht="12.2" customHeight="1" x14ac:dyDescent="0.25">
      <c r="A358" s="28"/>
      <c r="B358" s="33"/>
      <c r="C358" s="33"/>
      <c r="D358" s="33"/>
      <c r="E358" s="33"/>
      <c r="F358" s="33"/>
      <c r="G358" s="33"/>
      <c r="H358" s="33"/>
      <c r="I358" s="33"/>
      <c r="J358" s="47" t="s">
        <v>35</v>
      </c>
      <c r="K358" s="22" t="s">
        <v>36</v>
      </c>
      <c r="L358" s="44">
        <v>60</v>
      </c>
      <c r="M358" s="24">
        <v>814800</v>
      </c>
      <c r="N358" s="44">
        <v>15851</v>
      </c>
      <c r="O358" s="27">
        <f t="shared" si="5"/>
        <v>904428.00000000012</v>
      </c>
    </row>
    <row r="359" spans="1:15" ht="12.2" customHeight="1" x14ac:dyDescent="0.25">
      <c r="A359" s="28"/>
      <c r="B359" s="33"/>
      <c r="C359" s="33"/>
      <c r="D359" s="33"/>
      <c r="E359" s="33"/>
      <c r="F359" s="33"/>
      <c r="G359" s="33"/>
      <c r="H359" s="33"/>
      <c r="I359" s="33"/>
      <c r="J359" s="22" t="s">
        <v>82</v>
      </c>
      <c r="K359" s="43" t="s">
        <v>83</v>
      </c>
      <c r="L359" s="24">
        <v>24</v>
      </c>
      <c r="M359" s="44">
        <v>439992</v>
      </c>
      <c r="N359" s="26">
        <v>23776</v>
      </c>
      <c r="O359" s="27">
        <f t="shared" si="5"/>
        <v>488391.12000000005</v>
      </c>
    </row>
    <row r="360" spans="1:15" ht="12.2" customHeight="1" x14ac:dyDescent="0.25">
      <c r="A360" s="28"/>
      <c r="B360" s="33"/>
      <c r="C360" s="33"/>
      <c r="D360" s="34"/>
      <c r="E360" s="34"/>
      <c r="F360" s="34"/>
      <c r="G360" s="34"/>
      <c r="H360" s="34"/>
      <c r="I360" s="34"/>
      <c r="J360" s="47" t="s">
        <v>309</v>
      </c>
      <c r="K360" s="22" t="s">
        <v>310</v>
      </c>
      <c r="L360" s="44">
        <v>4</v>
      </c>
      <c r="M360" s="24">
        <v>278196</v>
      </c>
      <c r="N360" s="44">
        <v>81179</v>
      </c>
      <c r="O360" s="27">
        <f t="shared" si="5"/>
        <v>308797.56000000006</v>
      </c>
    </row>
    <row r="361" spans="1:15" ht="12.2" customHeight="1" x14ac:dyDescent="0.25">
      <c r="A361" s="28"/>
      <c r="B361" s="33"/>
      <c r="C361" s="33"/>
      <c r="D361" s="31" t="s">
        <v>456</v>
      </c>
      <c r="E361" s="31" t="s">
        <v>457</v>
      </c>
      <c r="F361" s="31" t="s">
        <v>449</v>
      </c>
      <c r="G361" s="31" t="s">
        <v>458</v>
      </c>
      <c r="H361" s="31" t="s">
        <v>360</v>
      </c>
      <c r="I361" s="31" t="s">
        <v>305</v>
      </c>
      <c r="J361" s="22" t="s">
        <v>332</v>
      </c>
      <c r="K361" s="43" t="s">
        <v>333</v>
      </c>
      <c r="L361" s="24">
        <v>12</v>
      </c>
      <c r="M361" s="44">
        <v>335232</v>
      </c>
      <c r="N361" s="26">
        <v>32607</v>
      </c>
      <c r="O361" s="27">
        <f t="shared" si="5"/>
        <v>372107.52000000002</v>
      </c>
    </row>
    <row r="362" spans="1:15" ht="12.2" customHeight="1" x14ac:dyDescent="0.25">
      <c r="A362" s="28"/>
      <c r="B362" s="33"/>
      <c r="C362" s="33"/>
      <c r="D362" s="33"/>
      <c r="E362" s="33"/>
      <c r="F362" s="33"/>
      <c r="G362" s="33"/>
      <c r="H362" s="33"/>
      <c r="I362" s="33"/>
      <c r="J362" s="47" t="s">
        <v>445</v>
      </c>
      <c r="K362" s="22" t="s">
        <v>446</v>
      </c>
      <c r="L362" s="44">
        <v>12</v>
      </c>
      <c r="M362" s="24">
        <v>213012</v>
      </c>
      <c r="N362" s="44">
        <v>20719</v>
      </c>
      <c r="O362" s="27">
        <f t="shared" si="5"/>
        <v>236443.32</v>
      </c>
    </row>
    <row r="363" spans="1:15" ht="12.2" customHeight="1" x14ac:dyDescent="0.25">
      <c r="A363" s="28"/>
      <c r="B363" s="33"/>
      <c r="C363" s="33"/>
      <c r="D363" s="34"/>
      <c r="E363" s="34"/>
      <c r="F363" s="34"/>
      <c r="G363" s="34"/>
      <c r="H363" s="34"/>
      <c r="I363" s="34"/>
      <c r="J363" s="22" t="s">
        <v>144</v>
      </c>
      <c r="K363" s="43" t="s">
        <v>145</v>
      </c>
      <c r="L363" s="24">
        <v>24</v>
      </c>
      <c r="M363" s="44">
        <v>351528</v>
      </c>
      <c r="N363" s="26">
        <v>17096</v>
      </c>
      <c r="O363" s="27">
        <f t="shared" si="5"/>
        <v>390196.08</v>
      </c>
    </row>
    <row r="364" spans="1:15" ht="12.2" customHeight="1" x14ac:dyDescent="0.25">
      <c r="A364" s="28"/>
      <c r="B364" s="33"/>
      <c r="C364" s="33"/>
      <c r="D364" s="31" t="s">
        <v>459</v>
      </c>
      <c r="E364" s="31" t="s">
        <v>460</v>
      </c>
      <c r="F364" s="31" t="s">
        <v>449</v>
      </c>
      <c r="G364" s="31" t="s">
        <v>461</v>
      </c>
      <c r="H364" s="31" t="s">
        <v>269</v>
      </c>
      <c r="I364" s="31" t="s">
        <v>305</v>
      </c>
      <c r="J364" s="43" t="s">
        <v>70</v>
      </c>
      <c r="K364" s="22" t="s">
        <v>71</v>
      </c>
      <c r="L364" s="44">
        <v>48</v>
      </c>
      <c r="M364" s="24">
        <v>810144</v>
      </c>
      <c r="N364" s="44">
        <v>19700</v>
      </c>
      <c r="O364" s="27">
        <f t="shared" si="5"/>
        <v>899259.84000000008</v>
      </c>
    </row>
    <row r="365" spans="1:15" ht="12.2" customHeight="1" x14ac:dyDescent="0.25">
      <c r="A365" s="28"/>
      <c r="B365" s="33"/>
      <c r="C365" s="33"/>
      <c r="D365" s="33"/>
      <c r="E365" s="33"/>
      <c r="F365" s="33"/>
      <c r="G365" s="33"/>
      <c r="H365" s="33"/>
      <c r="I365" s="33"/>
      <c r="J365" s="22" t="s">
        <v>78</v>
      </c>
      <c r="K365" s="43" t="s">
        <v>79</v>
      </c>
      <c r="L365" s="24">
        <v>48</v>
      </c>
      <c r="M365" s="44">
        <v>810144</v>
      </c>
      <c r="N365" s="26">
        <v>19700</v>
      </c>
      <c r="O365" s="27">
        <f t="shared" si="5"/>
        <v>899259.84000000008</v>
      </c>
    </row>
    <row r="366" spans="1:15" ht="12.2" customHeight="1" x14ac:dyDescent="0.25">
      <c r="A366" s="28"/>
      <c r="B366" s="33"/>
      <c r="C366" s="33"/>
      <c r="D366" s="33"/>
      <c r="E366" s="33"/>
      <c r="F366" s="33"/>
      <c r="G366" s="33"/>
      <c r="H366" s="33"/>
      <c r="I366" s="33"/>
      <c r="J366" s="43" t="s">
        <v>445</v>
      </c>
      <c r="K366" s="22" t="s">
        <v>446</v>
      </c>
      <c r="L366" s="44">
        <v>24</v>
      </c>
      <c r="M366" s="24">
        <v>426024</v>
      </c>
      <c r="N366" s="44">
        <v>20719</v>
      </c>
      <c r="O366" s="27">
        <f t="shared" si="5"/>
        <v>472886.64</v>
      </c>
    </row>
    <row r="367" spans="1:15" ht="12.2" customHeight="1" x14ac:dyDescent="0.25">
      <c r="A367" s="28"/>
      <c r="B367" s="33"/>
      <c r="C367" s="33"/>
      <c r="D367" s="33"/>
      <c r="E367" s="33"/>
      <c r="F367" s="33"/>
      <c r="G367" s="33"/>
      <c r="H367" s="33"/>
      <c r="I367" s="33"/>
      <c r="J367" s="22" t="s">
        <v>80</v>
      </c>
      <c r="K367" s="43" t="s">
        <v>81</v>
      </c>
      <c r="L367" s="24">
        <v>48</v>
      </c>
      <c r="M367" s="44">
        <v>651840</v>
      </c>
      <c r="N367" s="26">
        <v>15851</v>
      </c>
      <c r="O367" s="27">
        <f t="shared" si="5"/>
        <v>723542.4</v>
      </c>
    </row>
    <row r="368" spans="1:15" ht="12.2" customHeight="1" x14ac:dyDescent="0.25">
      <c r="A368" s="28"/>
      <c r="B368" s="33"/>
      <c r="C368" s="33"/>
      <c r="D368" s="33"/>
      <c r="E368" s="33"/>
      <c r="F368" s="33"/>
      <c r="G368" s="33"/>
      <c r="H368" s="33"/>
      <c r="I368" s="33"/>
      <c r="J368" s="43" t="s">
        <v>35</v>
      </c>
      <c r="K368" s="22" t="s">
        <v>36</v>
      </c>
      <c r="L368" s="44">
        <v>84</v>
      </c>
      <c r="M368" s="24">
        <v>1140720</v>
      </c>
      <c r="N368" s="44">
        <v>15851</v>
      </c>
      <c r="O368" s="27">
        <f t="shared" si="5"/>
        <v>1266199.2000000002</v>
      </c>
    </row>
    <row r="369" spans="1:15" ht="12.2" customHeight="1" x14ac:dyDescent="0.25">
      <c r="A369" s="28"/>
      <c r="B369" s="33"/>
      <c r="C369" s="34"/>
      <c r="D369" s="34"/>
      <c r="E369" s="34"/>
      <c r="F369" s="34"/>
      <c r="G369" s="34"/>
      <c r="H369" s="34"/>
      <c r="I369" s="34"/>
      <c r="J369" s="22" t="s">
        <v>82</v>
      </c>
      <c r="K369" s="45" t="s">
        <v>83</v>
      </c>
      <c r="L369" s="24">
        <v>48</v>
      </c>
      <c r="M369" s="46">
        <v>879984</v>
      </c>
      <c r="N369" s="26">
        <v>23776</v>
      </c>
      <c r="O369" s="27">
        <f t="shared" si="5"/>
        <v>976782.24000000011</v>
      </c>
    </row>
    <row r="370" spans="1:15" ht="12.2" customHeight="1" x14ac:dyDescent="0.25">
      <c r="A370" s="28"/>
      <c r="B370" s="33"/>
      <c r="C370" s="72" t="s">
        <v>264</v>
      </c>
      <c r="D370" s="22" t="s">
        <v>462</v>
      </c>
      <c r="E370" s="45" t="s">
        <v>437</v>
      </c>
      <c r="F370" s="22" t="s">
        <v>438</v>
      </c>
      <c r="G370" s="45" t="s">
        <v>439</v>
      </c>
      <c r="H370" s="22" t="s">
        <v>440</v>
      </c>
      <c r="I370" s="45" t="s">
        <v>305</v>
      </c>
      <c r="J370" s="22" t="s">
        <v>37</v>
      </c>
      <c r="K370" s="73" t="s">
        <v>38</v>
      </c>
      <c r="L370" s="24">
        <v>552</v>
      </c>
      <c r="M370" s="74">
        <v>10878802</v>
      </c>
      <c r="N370" s="26">
        <v>23776</v>
      </c>
      <c r="O370" s="27">
        <f t="shared" si="5"/>
        <v>12075470.220000001</v>
      </c>
    </row>
    <row r="371" spans="1:15" ht="12.2" customHeight="1" x14ac:dyDescent="0.25">
      <c r="A371" s="28"/>
      <c r="B371" s="33"/>
      <c r="C371" s="83" t="s">
        <v>463</v>
      </c>
      <c r="D371" s="22" t="s">
        <v>464</v>
      </c>
      <c r="E371" s="73" t="s">
        <v>437</v>
      </c>
      <c r="F371" s="22" t="s">
        <v>438</v>
      </c>
      <c r="G371" s="49" t="s">
        <v>439</v>
      </c>
      <c r="H371" s="22" t="s">
        <v>440</v>
      </c>
      <c r="I371" s="49" t="s">
        <v>305</v>
      </c>
      <c r="J371" s="22" t="s">
        <v>56</v>
      </c>
      <c r="K371" s="49" t="s">
        <v>57</v>
      </c>
      <c r="L371" s="24">
        <v>1092</v>
      </c>
      <c r="M371" s="50">
        <v>15474702</v>
      </c>
      <c r="N371" s="26">
        <v>17096</v>
      </c>
      <c r="O371" s="27">
        <f t="shared" si="5"/>
        <v>17176919.220000003</v>
      </c>
    </row>
    <row r="372" spans="1:15" ht="12.2" customHeight="1" x14ac:dyDescent="0.25">
      <c r="A372" s="28"/>
      <c r="B372" s="33"/>
      <c r="C372" s="30" t="s">
        <v>350</v>
      </c>
      <c r="D372" s="31" t="s">
        <v>465</v>
      </c>
      <c r="E372" s="31" t="s">
        <v>442</v>
      </c>
      <c r="F372" s="31" t="s">
        <v>443</v>
      </c>
      <c r="G372" s="31" t="s">
        <v>444</v>
      </c>
      <c r="H372" s="31" t="s">
        <v>371</v>
      </c>
      <c r="I372" s="31" t="s">
        <v>305</v>
      </c>
      <c r="J372" s="52" t="s">
        <v>35</v>
      </c>
      <c r="K372" s="23" t="s">
        <v>36</v>
      </c>
      <c r="L372" s="53">
        <v>24</v>
      </c>
      <c r="M372" s="25">
        <v>325920</v>
      </c>
      <c r="N372" s="54">
        <v>15851</v>
      </c>
      <c r="O372" s="27">
        <f t="shared" si="5"/>
        <v>361771.2</v>
      </c>
    </row>
    <row r="373" spans="1:15" ht="12.2" customHeight="1" x14ac:dyDescent="0.25">
      <c r="A373" s="28"/>
      <c r="B373" s="33"/>
      <c r="C373" s="33"/>
      <c r="D373" s="33"/>
      <c r="E373" s="33"/>
      <c r="F373" s="33"/>
      <c r="G373" s="33"/>
      <c r="H373" s="33"/>
      <c r="I373" s="33"/>
      <c r="J373" s="41" t="s">
        <v>82</v>
      </c>
      <c r="K373" s="22" t="s">
        <v>83</v>
      </c>
      <c r="L373" s="25">
        <v>12</v>
      </c>
      <c r="M373" s="24">
        <v>219996</v>
      </c>
      <c r="N373" s="25">
        <v>23776</v>
      </c>
      <c r="O373" s="27">
        <f t="shared" si="5"/>
        <v>244195.56000000003</v>
      </c>
    </row>
    <row r="374" spans="1:15" ht="12.2" customHeight="1" x14ac:dyDescent="0.25">
      <c r="A374" s="28"/>
      <c r="B374" s="33"/>
      <c r="C374" s="33"/>
      <c r="D374" s="33"/>
      <c r="E374" s="33"/>
      <c r="F374" s="33"/>
      <c r="G374" s="33"/>
      <c r="H374" s="33"/>
      <c r="I374" s="33"/>
      <c r="J374" s="22" t="s">
        <v>37</v>
      </c>
      <c r="K374" s="23" t="s">
        <v>38</v>
      </c>
      <c r="L374" s="24">
        <v>36</v>
      </c>
      <c r="M374" s="25">
        <v>659988</v>
      </c>
      <c r="N374" s="26">
        <v>23776</v>
      </c>
      <c r="O374" s="27">
        <f t="shared" si="5"/>
        <v>732586.68</v>
      </c>
    </row>
    <row r="375" spans="1:15" ht="12.2" customHeight="1" x14ac:dyDescent="0.25">
      <c r="A375" s="28"/>
      <c r="B375" s="33"/>
      <c r="C375" s="33"/>
      <c r="D375" s="34"/>
      <c r="E375" s="34"/>
      <c r="F375" s="34"/>
      <c r="G375" s="34"/>
      <c r="H375" s="34"/>
      <c r="I375" s="34"/>
      <c r="J375" s="41" t="s">
        <v>27</v>
      </c>
      <c r="K375" s="22" t="s">
        <v>28</v>
      </c>
      <c r="L375" s="25">
        <v>6</v>
      </c>
      <c r="M375" s="24">
        <v>235128</v>
      </c>
      <c r="N375" s="25">
        <v>45741</v>
      </c>
      <c r="O375" s="27">
        <f t="shared" si="5"/>
        <v>260992.08000000002</v>
      </c>
    </row>
    <row r="376" spans="1:15" ht="12.2" customHeight="1" x14ac:dyDescent="0.25">
      <c r="A376" s="28"/>
      <c r="B376" s="33"/>
      <c r="C376" s="33"/>
      <c r="D376" s="31" t="s">
        <v>466</v>
      </c>
      <c r="E376" s="31" t="s">
        <v>452</v>
      </c>
      <c r="F376" s="31" t="s">
        <v>449</v>
      </c>
      <c r="G376" s="31" t="s">
        <v>343</v>
      </c>
      <c r="H376" s="31" t="s">
        <v>343</v>
      </c>
      <c r="I376" s="31" t="s">
        <v>305</v>
      </c>
      <c r="J376" s="22" t="s">
        <v>37</v>
      </c>
      <c r="K376" s="23" t="s">
        <v>38</v>
      </c>
      <c r="L376" s="24">
        <v>12</v>
      </c>
      <c r="M376" s="25">
        <v>219996</v>
      </c>
      <c r="N376" s="26">
        <v>23776</v>
      </c>
      <c r="O376" s="27">
        <f t="shared" si="5"/>
        <v>244195.56000000003</v>
      </c>
    </row>
    <row r="377" spans="1:15" ht="12.2" customHeight="1" x14ac:dyDescent="0.25">
      <c r="A377" s="28"/>
      <c r="B377" s="33"/>
      <c r="C377" s="33"/>
      <c r="D377" s="33"/>
      <c r="E377" s="33"/>
      <c r="F377" s="33"/>
      <c r="G377" s="33"/>
      <c r="H377" s="33"/>
      <c r="I377" s="33"/>
      <c r="J377" s="41" t="s">
        <v>104</v>
      </c>
      <c r="K377" s="22" t="s">
        <v>105</v>
      </c>
      <c r="L377" s="25">
        <v>6</v>
      </c>
      <c r="M377" s="24">
        <v>235128</v>
      </c>
      <c r="N377" s="25">
        <v>45741</v>
      </c>
      <c r="O377" s="27">
        <f t="shared" si="5"/>
        <v>260992.08000000002</v>
      </c>
    </row>
    <row r="378" spans="1:15" ht="12.2" customHeight="1" x14ac:dyDescent="0.25">
      <c r="A378" s="28"/>
      <c r="B378" s="33"/>
      <c r="C378" s="33"/>
      <c r="D378" s="34"/>
      <c r="E378" s="34"/>
      <c r="F378" s="34"/>
      <c r="G378" s="34"/>
      <c r="H378" s="34"/>
      <c r="I378" s="34"/>
      <c r="J378" s="22" t="s">
        <v>307</v>
      </c>
      <c r="K378" s="23" t="s">
        <v>308</v>
      </c>
      <c r="L378" s="24">
        <v>4</v>
      </c>
      <c r="M378" s="25">
        <v>278196</v>
      </c>
      <c r="N378" s="26">
        <v>81179</v>
      </c>
      <c r="O378" s="27">
        <f t="shared" si="5"/>
        <v>308797.56000000006</v>
      </c>
    </row>
    <row r="379" spans="1:15" ht="12.2" customHeight="1" x14ac:dyDescent="0.25">
      <c r="A379" s="28"/>
      <c r="B379" s="33"/>
      <c r="C379" s="33"/>
      <c r="D379" s="31" t="s">
        <v>467</v>
      </c>
      <c r="E379" s="31" t="s">
        <v>448</v>
      </c>
      <c r="F379" s="31" t="s">
        <v>449</v>
      </c>
      <c r="G379" s="31" t="s">
        <v>450</v>
      </c>
      <c r="H379" s="31" t="s">
        <v>48</v>
      </c>
      <c r="I379" s="31" t="s">
        <v>305</v>
      </c>
      <c r="J379" s="23" t="s">
        <v>78</v>
      </c>
      <c r="K379" s="22" t="s">
        <v>79</v>
      </c>
      <c r="L379" s="25">
        <v>12</v>
      </c>
      <c r="M379" s="24">
        <v>202536</v>
      </c>
      <c r="N379" s="25">
        <v>19700</v>
      </c>
      <c r="O379" s="27">
        <f t="shared" si="5"/>
        <v>224814.96000000002</v>
      </c>
    </row>
    <row r="380" spans="1:15" ht="12.2" customHeight="1" x14ac:dyDescent="0.25">
      <c r="A380" s="28"/>
      <c r="B380" s="33"/>
      <c r="C380" s="33"/>
      <c r="D380" s="33"/>
      <c r="E380" s="33"/>
      <c r="F380" s="33"/>
      <c r="G380" s="33"/>
      <c r="H380" s="33"/>
      <c r="I380" s="33"/>
      <c r="J380" s="22" t="s">
        <v>35</v>
      </c>
      <c r="K380" s="23" t="s">
        <v>36</v>
      </c>
      <c r="L380" s="24">
        <v>36</v>
      </c>
      <c r="M380" s="25">
        <v>488880</v>
      </c>
      <c r="N380" s="26">
        <v>15851</v>
      </c>
      <c r="O380" s="27">
        <f t="shared" si="5"/>
        <v>542656.80000000005</v>
      </c>
    </row>
    <row r="381" spans="1:15" ht="12.2" customHeight="1" x14ac:dyDescent="0.25">
      <c r="A381" s="28"/>
      <c r="B381" s="33"/>
      <c r="C381" s="33"/>
      <c r="D381" s="33"/>
      <c r="E381" s="33"/>
      <c r="F381" s="33"/>
      <c r="G381" s="33"/>
      <c r="H381" s="33"/>
      <c r="I381" s="33"/>
      <c r="J381" s="23" t="s">
        <v>307</v>
      </c>
      <c r="K381" s="22" t="s">
        <v>308</v>
      </c>
      <c r="L381" s="25">
        <v>4</v>
      </c>
      <c r="M381" s="24">
        <v>278196</v>
      </c>
      <c r="N381" s="25">
        <v>81179</v>
      </c>
      <c r="O381" s="27">
        <f t="shared" si="5"/>
        <v>308797.56000000006</v>
      </c>
    </row>
    <row r="382" spans="1:15" ht="12.2" customHeight="1" x14ac:dyDescent="0.25">
      <c r="A382" s="28"/>
      <c r="B382" s="33"/>
      <c r="C382" s="33"/>
      <c r="D382" s="34"/>
      <c r="E382" s="34"/>
      <c r="F382" s="34"/>
      <c r="G382" s="34"/>
      <c r="H382" s="34"/>
      <c r="I382" s="34"/>
      <c r="J382" s="42" t="s">
        <v>309</v>
      </c>
      <c r="K382" s="23" t="s">
        <v>310</v>
      </c>
      <c r="L382" s="24">
        <v>4</v>
      </c>
      <c r="M382" s="25">
        <v>278196</v>
      </c>
      <c r="N382" s="26">
        <v>81179</v>
      </c>
      <c r="O382" s="27">
        <f t="shared" si="5"/>
        <v>308797.56000000006</v>
      </c>
    </row>
    <row r="383" spans="1:15" ht="12.2" customHeight="1" x14ac:dyDescent="0.25">
      <c r="A383" s="28"/>
      <c r="B383" s="33"/>
      <c r="C383" s="33"/>
      <c r="D383" s="31" t="s">
        <v>468</v>
      </c>
      <c r="E383" s="31" t="s">
        <v>454</v>
      </c>
      <c r="F383" s="31" t="s">
        <v>449</v>
      </c>
      <c r="G383" s="31" t="s">
        <v>455</v>
      </c>
      <c r="H383" s="31" t="s">
        <v>269</v>
      </c>
      <c r="I383" s="31" t="s">
        <v>305</v>
      </c>
      <c r="J383" s="23" t="s">
        <v>332</v>
      </c>
      <c r="K383" s="22" t="s">
        <v>333</v>
      </c>
      <c r="L383" s="25">
        <v>12</v>
      </c>
      <c r="M383" s="24">
        <v>335232</v>
      </c>
      <c r="N383" s="25">
        <v>32607</v>
      </c>
      <c r="O383" s="27">
        <f t="shared" si="5"/>
        <v>372107.52000000002</v>
      </c>
    </row>
    <row r="384" spans="1:15" ht="12.2" customHeight="1" x14ac:dyDescent="0.25">
      <c r="A384" s="28"/>
      <c r="B384" s="33"/>
      <c r="C384" s="33"/>
      <c r="D384" s="33"/>
      <c r="E384" s="33"/>
      <c r="F384" s="33"/>
      <c r="G384" s="33"/>
      <c r="H384" s="33"/>
      <c r="I384" s="33"/>
      <c r="J384" s="22" t="s">
        <v>80</v>
      </c>
      <c r="K384" s="23" t="s">
        <v>81</v>
      </c>
      <c r="L384" s="24">
        <v>24</v>
      </c>
      <c r="M384" s="25">
        <v>325920</v>
      </c>
      <c r="N384" s="26">
        <v>15851</v>
      </c>
      <c r="O384" s="27">
        <f t="shared" si="5"/>
        <v>361771.2</v>
      </c>
    </row>
    <row r="385" spans="1:15" ht="12.2" customHeight="1" x14ac:dyDescent="0.25">
      <c r="A385" s="28"/>
      <c r="B385" s="33"/>
      <c r="C385" s="33"/>
      <c r="D385" s="33"/>
      <c r="E385" s="33"/>
      <c r="F385" s="33"/>
      <c r="G385" s="33"/>
      <c r="H385" s="33"/>
      <c r="I385" s="33"/>
      <c r="J385" s="23" t="s">
        <v>27</v>
      </c>
      <c r="K385" s="22" t="s">
        <v>28</v>
      </c>
      <c r="L385" s="25">
        <v>42</v>
      </c>
      <c r="M385" s="24">
        <v>1645896</v>
      </c>
      <c r="N385" s="25">
        <v>45741</v>
      </c>
      <c r="O385" s="27">
        <f t="shared" si="5"/>
        <v>1826944.56</v>
      </c>
    </row>
    <row r="386" spans="1:15" ht="12.2" customHeight="1" x14ac:dyDescent="0.25">
      <c r="A386" s="28"/>
      <c r="B386" s="33"/>
      <c r="C386" s="33"/>
      <c r="D386" s="33"/>
      <c r="E386" s="33"/>
      <c r="F386" s="33"/>
      <c r="G386" s="33"/>
      <c r="H386" s="33"/>
      <c r="I386" s="33"/>
      <c r="J386" s="22" t="s">
        <v>307</v>
      </c>
      <c r="K386" s="23" t="s">
        <v>308</v>
      </c>
      <c r="L386" s="24">
        <v>12</v>
      </c>
      <c r="M386" s="25">
        <v>834588</v>
      </c>
      <c r="N386" s="26">
        <v>81179</v>
      </c>
      <c r="O386" s="27">
        <f t="shared" si="5"/>
        <v>926392.68</v>
      </c>
    </row>
    <row r="387" spans="1:15" ht="12.2" customHeight="1" x14ac:dyDescent="0.25">
      <c r="A387" s="28"/>
      <c r="B387" s="33"/>
      <c r="C387" s="33"/>
      <c r="D387" s="34"/>
      <c r="E387" s="34"/>
      <c r="F387" s="34"/>
      <c r="G387" s="34"/>
      <c r="H387" s="34"/>
      <c r="I387" s="34"/>
      <c r="J387" s="23" t="s">
        <v>309</v>
      </c>
      <c r="K387" s="22" t="s">
        <v>310</v>
      </c>
      <c r="L387" s="25">
        <v>8</v>
      </c>
      <c r="M387" s="24">
        <v>556392</v>
      </c>
      <c r="N387" s="25">
        <v>81179</v>
      </c>
      <c r="O387" s="27">
        <f t="shared" si="5"/>
        <v>617595.12000000011</v>
      </c>
    </row>
    <row r="388" spans="1:15" ht="12.2" customHeight="1" x14ac:dyDescent="0.25">
      <c r="A388" s="28"/>
      <c r="B388" s="33"/>
      <c r="C388" s="33"/>
      <c r="D388" s="31" t="s">
        <v>469</v>
      </c>
      <c r="E388" s="31" t="s">
        <v>460</v>
      </c>
      <c r="F388" s="31" t="s">
        <v>449</v>
      </c>
      <c r="G388" s="31" t="s">
        <v>461</v>
      </c>
      <c r="H388" s="31" t="s">
        <v>269</v>
      </c>
      <c r="I388" s="31" t="s">
        <v>305</v>
      </c>
      <c r="J388" s="22" t="s">
        <v>332</v>
      </c>
      <c r="K388" s="23" t="s">
        <v>333</v>
      </c>
      <c r="L388" s="24">
        <v>24</v>
      </c>
      <c r="M388" s="25">
        <v>670464</v>
      </c>
      <c r="N388" s="26">
        <v>32607</v>
      </c>
      <c r="O388" s="27">
        <f t="shared" si="5"/>
        <v>744215.04000000004</v>
      </c>
    </row>
    <row r="389" spans="1:15" ht="12.2" customHeight="1" x14ac:dyDescent="0.25">
      <c r="A389" s="28"/>
      <c r="B389" s="33"/>
      <c r="C389" s="33"/>
      <c r="D389" s="33"/>
      <c r="E389" s="33"/>
      <c r="F389" s="33"/>
      <c r="G389" s="33"/>
      <c r="H389" s="33"/>
      <c r="I389" s="33"/>
      <c r="J389" s="41" t="s">
        <v>66</v>
      </c>
      <c r="K389" s="22" t="s">
        <v>67</v>
      </c>
      <c r="L389" s="25">
        <v>12</v>
      </c>
      <c r="M389" s="24">
        <v>335232</v>
      </c>
      <c r="N389" s="25">
        <v>32607</v>
      </c>
      <c r="O389" s="27">
        <f t="shared" si="5"/>
        <v>372107.52000000002</v>
      </c>
    </row>
    <row r="390" spans="1:15" ht="12.2" customHeight="1" x14ac:dyDescent="0.25">
      <c r="A390" s="28"/>
      <c r="B390" s="33"/>
      <c r="C390" s="33"/>
      <c r="D390" s="33"/>
      <c r="E390" s="33"/>
      <c r="F390" s="33"/>
      <c r="G390" s="33"/>
      <c r="H390" s="33"/>
      <c r="I390" s="33"/>
      <c r="J390" s="22" t="s">
        <v>72</v>
      </c>
      <c r="K390" s="23" t="s">
        <v>73</v>
      </c>
      <c r="L390" s="24">
        <v>48</v>
      </c>
      <c r="M390" s="25">
        <v>810144</v>
      </c>
      <c r="N390" s="26">
        <v>19700</v>
      </c>
      <c r="O390" s="27">
        <f t="shared" si="5"/>
        <v>899259.84000000008</v>
      </c>
    </row>
    <row r="391" spans="1:15" ht="12.2" customHeight="1" x14ac:dyDescent="0.25">
      <c r="A391" s="28"/>
      <c r="B391" s="33"/>
      <c r="C391" s="33"/>
      <c r="D391" s="33"/>
      <c r="E391" s="33"/>
      <c r="F391" s="33"/>
      <c r="G391" s="33"/>
      <c r="H391" s="33"/>
      <c r="I391" s="33"/>
      <c r="J391" s="41" t="s">
        <v>37</v>
      </c>
      <c r="K391" s="22" t="s">
        <v>38</v>
      </c>
      <c r="L391" s="25">
        <v>168</v>
      </c>
      <c r="M391" s="24">
        <v>3079944</v>
      </c>
      <c r="N391" s="25">
        <v>23776</v>
      </c>
      <c r="O391" s="27">
        <f t="shared" ref="O391:O454" si="6">M391*1.11</f>
        <v>3418737.8400000003</v>
      </c>
    </row>
    <row r="392" spans="1:15" ht="12.2" customHeight="1" x14ac:dyDescent="0.25">
      <c r="A392" s="28"/>
      <c r="B392" s="33"/>
      <c r="C392" s="34"/>
      <c r="D392" s="34"/>
      <c r="E392" s="34"/>
      <c r="F392" s="34"/>
      <c r="G392" s="34"/>
      <c r="H392" s="34"/>
      <c r="I392" s="34"/>
      <c r="J392" s="22" t="s">
        <v>307</v>
      </c>
      <c r="K392" s="23" t="s">
        <v>308</v>
      </c>
      <c r="L392" s="24">
        <v>16</v>
      </c>
      <c r="M392" s="25">
        <v>1112784</v>
      </c>
      <c r="N392" s="26">
        <v>81179</v>
      </c>
      <c r="O392" s="27">
        <f t="shared" si="6"/>
        <v>1235190.2400000002</v>
      </c>
    </row>
    <row r="393" spans="1:15" ht="12.2" customHeight="1" x14ac:dyDescent="0.25">
      <c r="A393" s="28"/>
      <c r="B393" s="33"/>
      <c r="C393" s="84" t="s">
        <v>106</v>
      </c>
      <c r="D393" s="22" t="s">
        <v>470</v>
      </c>
      <c r="E393" s="23" t="s">
        <v>437</v>
      </c>
      <c r="F393" s="22" t="s">
        <v>438</v>
      </c>
      <c r="G393" s="85" t="s">
        <v>439</v>
      </c>
      <c r="H393" s="22" t="s">
        <v>440</v>
      </c>
      <c r="I393" s="85" t="s">
        <v>305</v>
      </c>
      <c r="J393" s="22" t="s">
        <v>56</v>
      </c>
      <c r="K393" s="42" t="s">
        <v>57</v>
      </c>
      <c r="L393" s="24">
        <v>132</v>
      </c>
      <c r="M393" s="86">
        <v>1870569</v>
      </c>
      <c r="N393" s="26">
        <v>17096</v>
      </c>
      <c r="O393" s="27">
        <f t="shared" si="6"/>
        <v>2076331.59</v>
      </c>
    </row>
    <row r="394" spans="1:15" ht="12.2" customHeight="1" x14ac:dyDescent="0.25">
      <c r="A394" s="28"/>
      <c r="B394" s="33"/>
      <c r="C394" s="30" t="s">
        <v>118</v>
      </c>
      <c r="D394" s="31" t="s">
        <v>471</v>
      </c>
      <c r="E394" s="31" t="s">
        <v>442</v>
      </c>
      <c r="F394" s="31" t="s">
        <v>443</v>
      </c>
      <c r="G394" s="31" t="s">
        <v>444</v>
      </c>
      <c r="H394" s="31" t="s">
        <v>371</v>
      </c>
      <c r="I394" s="31" t="s">
        <v>305</v>
      </c>
      <c r="J394" s="22" t="s">
        <v>70</v>
      </c>
      <c r="K394" s="85" t="s">
        <v>71</v>
      </c>
      <c r="L394" s="24">
        <v>24</v>
      </c>
      <c r="M394" s="87">
        <v>405072</v>
      </c>
      <c r="N394" s="26">
        <v>19700</v>
      </c>
      <c r="O394" s="27">
        <f t="shared" si="6"/>
        <v>449629.92000000004</v>
      </c>
    </row>
    <row r="395" spans="1:15" ht="12.2" customHeight="1" x14ac:dyDescent="0.25">
      <c r="A395" s="28"/>
      <c r="B395" s="33"/>
      <c r="C395" s="33"/>
      <c r="D395" s="33"/>
      <c r="E395" s="33"/>
      <c r="F395" s="33"/>
      <c r="G395" s="33"/>
      <c r="H395" s="33"/>
      <c r="I395" s="33"/>
      <c r="J395" s="88" t="s">
        <v>76</v>
      </c>
      <c r="K395" s="22" t="s">
        <v>77</v>
      </c>
      <c r="L395" s="87">
        <v>12</v>
      </c>
      <c r="M395" s="24">
        <v>202536</v>
      </c>
      <c r="N395" s="25">
        <v>19700</v>
      </c>
      <c r="O395" s="27">
        <f t="shared" si="6"/>
        <v>224814.96000000002</v>
      </c>
    </row>
    <row r="396" spans="1:15" ht="12.2" customHeight="1" x14ac:dyDescent="0.25">
      <c r="A396" s="28"/>
      <c r="B396" s="33"/>
      <c r="C396" s="33"/>
      <c r="D396" s="33"/>
      <c r="E396" s="33"/>
      <c r="F396" s="33"/>
      <c r="G396" s="33"/>
      <c r="H396" s="33"/>
      <c r="I396" s="33"/>
      <c r="J396" s="22" t="s">
        <v>309</v>
      </c>
      <c r="K396" s="85" t="s">
        <v>310</v>
      </c>
      <c r="L396" s="24">
        <v>4</v>
      </c>
      <c r="M396" s="87">
        <v>278196</v>
      </c>
      <c r="N396" s="26">
        <v>81179</v>
      </c>
      <c r="O396" s="27">
        <f t="shared" si="6"/>
        <v>308797.56000000006</v>
      </c>
    </row>
    <row r="397" spans="1:15" ht="12.2" customHeight="1" x14ac:dyDescent="0.25">
      <c r="A397" s="28"/>
      <c r="B397" s="33"/>
      <c r="C397" s="33"/>
      <c r="D397" s="34"/>
      <c r="E397" s="34"/>
      <c r="F397" s="34"/>
      <c r="G397" s="34"/>
      <c r="H397" s="34"/>
      <c r="I397" s="34"/>
      <c r="J397" s="88" t="s">
        <v>144</v>
      </c>
      <c r="K397" s="22" t="s">
        <v>145</v>
      </c>
      <c r="L397" s="87">
        <v>24</v>
      </c>
      <c r="M397" s="24">
        <v>351528</v>
      </c>
      <c r="N397" s="25">
        <v>17096</v>
      </c>
      <c r="O397" s="27">
        <f t="shared" si="6"/>
        <v>390196.08</v>
      </c>
    </row>
    <row r="398" spans="1:15" ht="12.2" customHeight="1" x14ac:dyDescent="0.25">
      <c r="A398" s="28"/>
      <c r="B398" s="33"/>
      <c r="C398" s="33"/>
      <c r="D398" s="31" t="s">
        <v>472</v>
      </c>
      <c r="E398" s="31" t="s">
        <v>452</v>
      </c>
      <c r="F398" s="31" t="s">
        <v>449</v>
      </c>
      <c r="G398" s="31" t="s">
        <v>343</v>
      </c>
      <c r="H398" s="31" t="s">
        <v>343</v>
      </c>
      <c r="I398" s="31" t="s">
        <v>305</v>
      </c>
      <c r="J398" s="22" t="s">
        <v>72</v>
      </c>
      <c r="K398" s="85" t="s">
        <v>73</v>
      </c>
      <c r="L398" s="24">
        <v>24</v>
      </c>
      <c r="M398" s="87">
        <v>405072</v>
      </c>
      <c r="N398" s="26">
        <v>19700</v>
      </c>
      <c r="O398" s="27">
        <f t="shared" si="6"/>
        <v>449629.92000000004</v>
      </c>
    </row>
    <row r="399" spans="1:15" ht="12.2" customHeight="1" x14ac:dyDescent="0.25">
      <c r="A399" s="28"/>
      <c r="B399" s="33"/>
      <c r="C399" s="33"/>
      <c r="D399" s="33"/>
      <c r="E399" s="33"/>
      <c r="F399" s="33"/>
      <c r="G399" s="33"/>
      <c r="H399" s="33"/>
      <c r="I399" s="33"/>
      <c r="J399" s="88" t="s">
        <v>27</v>
      </c>
      <c r="K399" s="22" t="s">
        <v>28</v>
      </c>
      <c r="L399" s="87">
        <v>6</v>
      </c>
      <c r="M399" s="24">
        <v>235128</v>
      </c>
      <c r="N399" s="25">
        <v>45741</v>
      </c>
      <c r="O399" s="27">
        <f t="shared" si="6"/>
        <v>260992.08000000002</v>
      </c>
    </row>
    <row r="400" spans="1:15" ht="12.2" customHeight="1" x14ac:dyDescent="0.25">
      <c r="A400" s="28"/>
      <c r="B400" s="33"/>
      <c r="C400" s="33"/>
      <c r="D400" s="34"/>
      <c r="E400" s="34"/>
      <c r="F400" s="34"/>
      <c r="G400" s="34"/>
      <c r="H400" s="34"/>
      <c r="I400" s="34"/>
      <c r="J400" s="22" t="s">
        <v>144</v>
      </c>
      <c r="K400" s="85" t="s">
        <v>145</v>
      </c>
      <c r="L400" s="24">
        <v>24</v>
      </c>
      <c r="M400" s="87">
        <v>351528</v>
      </c>
      <c r="N400" s="26">
        <v>17096</v>
      </c>
      <c r="O400" s="27">
        <f t="shared" si="6"/>
        <v>390196.08</v>
      </c>
    </row>
    <row r="401" spans="1:15" ht="12.2" customHeight="1" x14ac:dyDescent="0.25">
      <c r="A401" s="28"/>
      <c r="B401" s="33"/>
      <c r="C401" s="33"/>
      <c r="D401" s="31" t="s">
        <v>473</v>
      </c>
      <c r="E401" s="31" t="s">
        <v>448</v>
      </c>
      <c r="F401" s="31" t="s">
        <v>449</v>
      </c>
      <c r="G401" s="31" t="s">
        <v>450</v>
      </c>
      <c r="H401" s="31" t="s">
        <v>48</v>
      </c>
      <c r="I401" s="31" t="s">
        <v>305</v>
      </c>
      <c r="J401" s="85" t="s">
        <v>37</v>
      </c>
      <c r="K401" s="22" t="s">
        <v>38</v>
      </c>
      <c r="L401" s="87">
        <v>48</v>
      </c>
      <c r="M401" s="24">
        <v>879984</v>
      </c>
      <c r="N401" s="25">
        <v>23776</v>
      </c>
      <c r="O401" s="27">
        <f t="shared" si="6"/>
        <v>976782.24000000011</v>
      </c>
    </row>
    <row r="402" spans="1:15" ht="12.2" customHeight="1" x14ac:dyDescent="0.25">
      <c r="A402" s="28"/>
      <c r="B402" s="33"/>
      <c r="C402" s="33"/>
      <c r="D402" s="34"/>
      <c r="E402" s="34"/>
      <c r="F402" s="34"/>
      <c r="G402" s="34"/>
      <c r="H402" s="34"/>
      <c r="I402" s="34"/>
      <c r="J402" s="42" t="s">
        <v>104</v>
      </c>
      <c r="K402" s="23" t="s">
        <v>105</v>
      </c>
      <c r="L402" s="24">
        <v>6</v>
      </c>
      <c r="M402" s="25">
        <v>235128</v>
      </c>
      <c r="N402" s="26">
        <v>45741</v>
      </c>
      <c r="O402" s="27">
        <f t="shared" si="6"/>
        <v>260992.08000000002</v>
      </c>
    </row>
    <row r="403" spans="1:15" ht="12.2" customHeight="1" x14ac:dyDescent="0.25">
      <c r="A403" s="28"/>
      <c r="B403" s="33"/>
      <c r="C403" s="33"/>
      <c r="D403" s="31" t="s">
        <v>474</v>
      </c>
      <c r="E403" s="31" t="s">
        <v>457</v>
      </c>
      <c r="F403" s="31" t="s">
        <v>449</v>
      </c>
      <c r="G403" s="31" t="s">
        <v>458</v>
      </c>
      <c r="H403" s="31" t="s">
        <v>360</v>
      </c>
      <c r="I403" s="31" t="s">
        <v>305</v>
      </c>
      <c r="J403" s="23" t="s">
        <v>68</v>
      </c>
      <c r="K403" s="22" t="s">
        <v>69</v>
      </c>
      <c r="L403" s="25">
        <v>24</v>
      </c>
      <c r="M403" s="24">
        <v>670464</v>
      </c>
      <c r="N403" s="25">
        <v>32607</v>
      </c>
      <c r="O403" s="27">
        <f t="shared" si="6"/>
        <v>744215.04000000004</v>
      </c>
    </row>
    <row r="404" spans="1:15" ht="12.2" customHeight="1" x14ac:dyDescent="0.25">
      <c r="A404" s="28"/>
      <c r="B404" s="33"/>
      <c r="C404" s="33"/>
      <c r="D404" s="33"/>
      <c r="E404" s="33"/>
      <c r="F404" s="33"/>
      <c r="G404" s="33"/>
      <c r="H404" s="33"/>
      <c r="I404" s="33"/>
      <c r="J404" s="22" t="s">
        <v>72</v>
      </c>
      <c r="K404" s="23" t="s">
        <v>73</v>
      </c>
      <c r="L404" s="24">
        <v>24</v>
      </c>
      <c r="M404" s="25">
        <v>405072</v>
      </c>
      <c r="N404" s="26">
        <v>19700</v>
      </c>
      <c r="O404" s="27">
        <f t="shared" si="6"/>
        <v>449629.92000000004</v>
      </c>
    </row>
    <row r="405" spans="1:15" ht="12.2" customHeight="1" x14ac:dyDescent="0.25">
      <c r="A405" s="28"/>
      <c r="B405" s="33"/>
      <c r="C405" s="33"/>
      <c r="D405" s="33"/>
      <c r="E405" s="33"/>
      <c r="F405" s="33"/>
      <c r="G405" s="33"/>
      <c r="H405" s="33"/>
      <c r="I405" s="33"/>
      <c r="J405" s="23" t="s">
        <v>74</v>
      </c>
      <c r="K405" s="22" t="s">
        <v>75</v>
      </c>
      <c r="L405" s="25">
        <v>24</v>
      </c>
      <c r="M405" s="24">
        <v>405072</v>
      </c>
      <c r="N405" s="25">
        <v>19700</v>
      </c>
      <c r="O405" s="27">
        <f t="shared" si="6"/>
        <v>449629.92000000004</v>
      </c>
    </row>
    <row r="406" spans="1:15" ht="12.2" customHeight="1" x14ac:dyDescent="0.25">
      <c r="A406" s="28"/>
      <c r="B406" s="33"/>
      <c r="C406" s="33"/>
      <c r="D406" s="33"/>
      <c r="E406" s="33"/>
      <c r="F406" s="33"/>
      <c r="G406" s="33"/>
      <c r="H406" s="33"/>
      <c r="I406" s="33"/>
      <c r="J406" s="22" t="s">
        <v>76</v>
      </c>
      <c r="K406" s="23" t="s">
        <v>77</v>
      </c>
      <c r="L406" s="24">
        <v>48</v>
      </c>
      <c r="M406" s="25">
        <v>810144</v>
      </c>
      <c r="N406" s="26">
        <v>19700</v>
      </c>
      <c r="O406" s="27">
        <f t="shared" si="6"/>
        <v>899259.84000000008</v>
      </c>
    </row>
    <row r="407" spans="1:15" ht="12.2" customHeight="1" x14ac:dyDescent="0.25">
      <c r="A407" s="28"/>
      <c r="B407" s="33"/>
      <c r="C407" s="33"/>
      <c r="D407" s="33"/>
      <c r="E407" s="33"/>
      <c r="F407" s="33"/>
      <c r="G407" s="33"/>
      <c r="H407" s="33"/>
      <c r="I407" s="33"/>
      <c r="J407" s="23" t="s">
        <v>78</v>
      </c>
      <c r="K407" s="22" t="s">
        <v>79</v>
      </c>
      <c r="L407" s="25">
        <v>48</v>
      </c>
      <c r="M407" s="24">
        <v>810144</v>
      </c>
      <c r="N407" s="25">
        <v>19700</v>
      </c>
      <c r="O407" s="27">
        <f t="shared" si="6"/>
        <v>899259.84000000008</v>
      </c>
    </row>
    <row r="408" spans="1:15" ht="12.2" customHeight="1" x14ac:dyDescent="0.25">
      <c r="A408" s="28"/>
      <c r="B408" s="33"/>
      <c r="C408" s="33"/>
      <c r="D408" s="33"/>
      <c r="E408" s="33"/>
      <c r="F408" s="33"/>
      <c r="G408" s="33"/>
      <c r="H408" s="33"/>
      <c r="I408" s="33"/>
      <c r="J408" s="22" t="s">
        <v>80</v>
      </c>
      <c r="K408" s="23" t="s">
        <v>81</v>
      </c>
      <c r="L408" s="24">
        <v>36</v>
      </c>
      <c r="M408" s="25">
        <v>488880</v>
      </c>
      <c r="N408" s="26">
        <v>15851</v>
      </c>
      <c r="O408" s="27">
        <f t="shared" si="6"/>
        <v>542656.80000000005</v>
      </c>
    </row>
    <row r="409" spans="1:15" ht="12.2" customHeight="1" x14ac:dyDescent="0.25">
      <c r="A409" s="28"/>
      <c r="B409" s="33"/>
      <c r="C409" s="33"/>
      <c r="D409" s="33"/>
      <c r="E409" s="33"/>
      <c r="F409" s="33"/>
      <c r="G409" s="33"/>
      <c r="H409" s="33"/>
      <c r="I409" s="33"/>
      <c r="J409" s="23" t="s">
        <v>35</v>
      </c>
      <c r="K409" s="22" t="s">
        <v>36</v>
      </c>
      <c r="L409" s="25">
        <v>36</v>
      </c>
      <c r="M409" s="24">
        <v>488880</v>
      </c>
      <c r="N409" s="25">
        <v>15851</v>
      </c>
      <c r="O409" s="27">
        <f t="shared" si="6"/>
        <v>542656.80000000005</v>
      </c>
    </row>
    <row r="410" spans="1:15" ht="12.2" customHeight="1" x14ac:dyDescent="0.25">
      <c r="A410" s="28"/>
      <c r="B410" s="33"/>
      <c r="C410" s="33"/>
      <c r="D410" s="33"/>
      <c r="E410" s="33"/>
      <c r="F410" s="33"/>
      <c r="G410" s="33"/>
      <c r="H410" s="33"/>
      <c r="I410" s="33"/>
      <c r="J410" s="22" t="s">
        <v>104</v>
      </c>
      <c r="K410" s="23" t="s">
        <v>105</v>
      </c>
      <c r="L410" s="24">
        <v>12</v>
      </c>
      <c r="M410" s="25">
        <v>470256</v>
      </c>
      <c r="N410" s="26">
        <v>45741</v>
      </c>
      <c r="O410" s="27">
        <f t="shared" si="6"/>
        <v>521984.16000000003</v>
      </c>
    </row>
    <row r="411" spans="1:15" ht="12.2" customHeight="1" x14ac:dyDescent="0.25">
      <c r="A411" s="28"/>
      <c r="B411" s="33"/>
      <c r="C411" s="33"/>
      <c r="D411" s="33"/>
      <c r="E411" s="33"/>
      <c r="F411" s="33"/>
      <c r="G411" s="33"/>
      <c r="H411" s="33"/>
      <c r="I411" s="33"/>
      <c r="J411" s="23" t="s">
        <v>27</v>
      </c>
      <c r="K411" s="22" t="s">
        <v>28</v>
      </c>
      <c r="L411" s="25">
        <v>24</v>
      </c>
      <c r="M411" s="24">
        <v>940512</v>
      </c>
      <c r="N411" s="25">
        <v>45741</v>
      </c>
      <c r="O411" s="27">
        <f t="shared" si="6"/>
        <v>1043968.3200000001</v>
      </c>
    </row>
    <row r="412" spans="1:15" ht="12.2" customHeight="1" x14ac:dyDescent="0.25">
      <c r="A412" s="28"/>
      <c r="B412" s="33"/>
      <c r="C412" s="33"/>
      <c r="D412" s="33"/>
      <c r="E412" s="33"/>
      <c r="F412" s="33"/>
      <c r="G412" s="33"/>
      <c r="H412" s="33"/>
      <c r="I412" s="33"/>
      <c r="J412" s="22" t="s">
        <v>307</v>
      </c>
      <c r="K412" s="23" t="s">
        <v>308</v>
      </c>
      <c r="L412" s="24">
        <v>12</v>
      </c>
      <c r="M412" s="25">
        <v>834588</v>
      </c>
      <c r="N412" s="26">
        <v>81179</v>
      </c>
      <c r="O412" s="27">
        <f t="shared" si="6"/>
        <v>926392.68</v>
      </c>
    </row>
    <row r="413" spans="1:15" ht="12.2" customHeight="1" x14ac:dyDescent="0.25">
      <c r="A413" s="28"/>
      <c r="B413" s="33"/>
      <c r="C413" s="33"/>
      <c r="D413" s="34"/>
      <c r="E413" s="34"/>
      <c r="F413" s="34"/>
      <c r="G413" s="34"/>
      <c r="H413" s="34"/>
      <c r="I413" s="34"/>
      <c r="J413" s="23" t="s">
        <v>309</v>
      </c>
      <c r="K413" s="22" t="s">
        <v>310</v>
      </c>
      <c r="L413" s="25">
        <v>8</v>
      </c>
      <c r="M413" s="24">
        <v>556392</v>
      </c>
      <c r="N413" s="25">
        <v>81179</v>
      </c>
      <c r="O413" s="27">
        <f t="shared" si="6"/>
        <v>617595.12000000011</v>
      </c>
    </row>
    <row r="414" spans="1:15" ht="12.2" customHeight="1" x14ac:dyDescent="0.25">
      <c r="A414" s="28"/>
      <c r="B414" s="33"/>
      <c r="C414" s="33"/>
      <c r="D414" s="31" t="s">
        <v>475</v>
      </c>
      <c r="E414" s="31" t="s">
        <v>454</v>
      </c>
      <c r="F414" s="31" t="s">
        <v>449</v>
      </c>
      <c r="G414" s="31" t="s">
        <v>455</v>
      </c>
      <c r="H414" s="31" t="s">
        <v>269</v>
      </c>
      <c r="I414" s="31" t="s">
        <v>305</v>
      </c>
      <c r="J414" s="22" t="s">
        <v>72</v>
      </c>
      <c r="K414" s="23" t="s">
        <v>73</v>
      </c>
      <c r="L414" s="24">
        <v>24</v>
      </c>
      <c r="M414" s="25">
        <v>405072</v>
      </c>
      <c r="N414" s="26">
        <v>19700</v>
      </c>
      <c r="O414" s="27">
        <f t="shared" si="6"/>
        <v>449629.92000000004</v>
      </c>
    </row>
    <row r="415" spans="1:15" ht="12.2" customHeight="1" x14ac:dyDescent="0.25">
      <c r="A415" s="28"/>
      <c r="B415" s="33"/>
      <c r="C415" s="33"/>
      <c r="D415" s="34"/>
      <c r="E415" s="34"/>
      <c r="F415" s="34"/>
      <c r="G415" s="34"/>
      <c r="H415" s="34"/>
      <c r="I415" s="34"/>
      <c r="J415" s="41" t="s">
        <v>37</v>
      </c>
      <c r="K415" s="22" t="s">
        <v>38</v>
      </c>
      <c r="L415" s="25">
        <v>108</v>
      </c>
      <c r="M415" s="24">
        <v>1979965</v>
      </c>
      <c r="N415" s="25">
        <v>23776</v>
      </c>
      <c r="O415" s="27">
        <f t="shared" si="6"/>
        <v>2197761.1500000004</v>
      </c>
    </row>
    <row r="416" spans="1:15" ht="12.2" customHeight="1" x14ac:dyDescent="0.25">
      <c r="A416" s="28"/>
      <c r="B416" s="33"/>
      <c r="C416" s="33"/>
      <c r="D416" s="31" t="s">
        <v>476</v>
      </c>
      <c r="E416" s="31" t="s">
        <v>460</v>
      </c>
      <c r="F416" s="31" t="s">
        <v>449</v>
      </c>
      <c r="G416" s="31" t="s">
        <v>461</v>
      </c>
      <c r="H416" s="31" t="s">
        <v>269</v>
      </c>
      <c r="I416" s="31" t="s">
        <v>305</v>
      </c>
      <c r="J416" s="22" t="s">
        <v>74</v>
      </c>
      <c r="K416" s="23" t="s">
        <v>75</v>
      </c>
      <c r="L416" s="24">
        <v>36</v>
      </c>
      <c r="M416" s="25">
        <v>607608</v>
      </c>
      <c r="N416" s="26">
        <v>19700</v>
      </c>
      <c r="O416" s="27">
        <f t="shared" si="6"/>
        <v>674444.88</v>
      </c>
    </row>
    <row r="417" spans="1:15" ht="12.2" customHeight="1" x14ac:dyDescent="0.25">
      <c r="A417" s="28"/>
      <c r="B417" s="33"/>
      <c r="C417" s="33"/>
      <c r="D417" s="33"/>
      <c r="E417" s="33"/>
      <c r="F417" s="33"/>
      <c r="G417" s="33"/>
      <c r="H417" s="33"/>
      <c r="I417" s="33"/>
      <c r="J417" s="41" t="s">
        <v>76</v>
      </c>
      <c r="K417" s="22" t="s">
        <v>77</v>
      </c>
      <c r="L417" s="25">
        <v>48</v>
      </c>
      <c r="M417" s="24">
        <v>810144</v>
      </c>
      <c r="N417" s="25">
        <v>19700</v>
      </c>
      <c r="O417" s="27">
        <f t="shared" si="6"/>
        <v>899259.84000000008</v>
      </c>
    </row>
    <row r="418" spans="1:15" ht="12.2" customHeight="1" x14ac:dyDescent="0.25">
      <c r="A418" s="28"/>
      <c r="B418" s="33"/>
      <c r="C418" s="33"/>
      <c r="D418" s="33"/>
      <c r="E418" s="33"/>
      <c r="F418" s="33"/>
      <c r="G418" s="33"/>
      <c r="H418" s="33"/>
      <c r="I418" s="33"/>
      <c r="J418" s="22" t="s">
        <v>78</v>
      </c>
      <c r="K418" s="23" t="s">
        <v>79</v>
      </c>
      <c r="L418" s="24">
        <v>48</v>
      </c>
      <c r="M418" s="25">
        <v>810144</v>
      </c>
      <c r="N418" s="26">
        <v>19700</v>
      </c>
      <c r="O418" s="27">
        <f t="shared" si="6"/>
        <v>899259.84000000008</v>
      </c>
    </row>
    <row r="419" spans="1:15" ht="12.2" customHeight="1" x14ac:dyDescent="0.25">
      <c r="A419" s="28"/>
      <c r="B419" s="33"/>
      <c r="C419" s="33"/>
      <c r="D419" s="33"/>
      <c r="E419" s="33"/>
      <c r="F419" s="33"/>
      <c r="G419" s="33"/>
      <c r="H419" s="33"/>
      <c r="I419" s="33"/>
      <c r="J419" s="41" t="s">
        <v>104</v>
      </c>
      <c r="K419" s="22" t="s">
        <v>105</v>
      </c>
      <c r="L419" s="25">
        <v>24</v>
      </c>
      <c r="M419" s="24">
        <v>940512</v>
      </c>
      <c r="N419" s="25">
        <v>45741</v>
      </c>
      <c r="O419" s="27">
        <f t="shared" si="6"/>
        <v>1043968.3200000001</v>
      </c>
    </row>
    <row r="420" spans="1:15" ht="12.2" customHeight="1" x14ac:dyDescent="0.25">
      <c r="A420" s="28"/>
      <c r="B420" s="33"/>
      <c r="C420" s="33"/>
      <c r="D420" s="33"/>
      <c r="E420" s="33"/>
      <c r="F420" s="33"/>
      <c r="G420" s="33"/>
      <c r="H420" s="33"/>
      <c r="I420" s="33"/>
      <c r="J420" s="22" t="s">
        <v>27</v>
      </c>
      <c r="K420" s="23" t="s">
        <v>28</v>
      </c>
      <c r="L420" s="24">
        <v>54</v>
      </c>
      <c r="M420" s="25">
        <v>2116152</v>
      </c>
      <c r="N420" s="26">
        <v>45741</v>
      </c>
      <c r="O420" s="27">
        <f t="shared" si="6"/>
        <v>2348928.7200000002</v>
      </c>
    </row>
    <row r="421" spans="1:15" ht="12.2" customHeight="1" x14ac:dyDescent="0.25">
      <c r="A421" s="28"/>
      <c r="B421" s="33"/>
      <c r="C421" s="34"/>
      <c r="D421" s="34"/>
      <c r="E421" s="34"/>
      <c r="F421" s="34"/>
      <c r="G421" s="34"/>
      <c r="H421" s="34"/>
      <c r="I421" s="34"/>
      <c r="J421" s="82" t="s">
        <v>309</v>
      </c>
      <c r="K421" s="22" t="s">
        <v>310</v>
      </c>
      <c r="L421" s="39">
        <v>20</v>
      </c>
      <c r="M421" s="24">
        <v>1390980</v>
      </c>
      <c r="N421" s="39">
        <v>81179</v>
      </c>
      <c r="O421" s="27">
        <f t="shared" si="6"/>
        <v>1543987.8</v>
      </c>
    </row>
    <row r="422" spans="1:15" ht="12.2" customHeight="1" x14ac:dyDescent="0.25">
      <c r="A422" s="28"/>
      <c r="B422" s="33"/>
      <c r="C422" s="67" t="s">
        <v>123</v>
      </c>
      <c r="D422" s="38" t="s">
        <v>477</v>
      </c>
      <c r="E422" s="22" t="s">
        <v>437</v>
      </c>
      <c r="F422" s="38" t="s">
        <v>438</v>
      </c>
      <c r="G422" s="22" t="s">
        <v>439</v>
      </c>
      <c r="H422" s="38" t="s">
        <v>440</v>
      </c>
      <c r="I422" s="22" t="s">
        <v>305</v>
      </c>
      <c r="J422" s="38" t="s">
        <v>37</v>
      </c>
      <c r="K422" s="22" t="s">
        <v>38</v>
      </c>
      <c r="L422" s="39">
        <v>420</v>
      </c>
      <c r="M422" s="24">
        <v>8277350</v>
      </c>
      <c r="N422" s="39">
        <v>23776</v>
      </c>
      <c r="O422" s="27">
        <f t="shared" si="6"/>
        <v>9187858.5</v>
      </c>
    </row>
    <row r="423" spans="1:15" ht="12.2" customHeight="1" x14ac:dyDescent="0.25">
      <c r="A423" s="28"/>
      <c r="B423" s="33"/>
      <c r="C423" s="30" t="s">
        <v>402</v>
      </c>
      <c r="D423" s="31" t="s">
        <v>478</v>
      </c>
      <c r="E423" s="31" t="s">
        <v>437</v>
      </c>
      <c r="F423" s="31" t="s">
        <v>438</v>
      </c>
      <c r="G423" s="31" t="s">
        <v>439</v>
      </c>
      <c r="H423" s="31" t="s">
        <v>440</v>
      </c>
      <c r="I423" s="31" t="s">
        <v>305</v>
      </c>
      <c r="J423" s="23" t="s">
        <v>37</v>
      </c>
      <c r="K423" s="22" t="s">
        <v>38</v>
      </c>
      <c r="L423" s="25">
        <v>36</v>
      </c>
      <c r="M423" s="24">
        <v>709488</v>
      </c>
      <c r="N423" s="25">
        <v>23776</v>
      </c>
      <c r="O423" s="27">
        <f t="shared" si="6"/>
        <v>787531.68</v>
      </c>
    </row>
    <row r="424" spans="1:15" ht="12.2" customHeight="1" x14ac:dyDescent="0.25">
      <c r="A424" s="28"/>
      <c r="B424" s="33"/>
      <c r="C424" s="34"/>
      <c r="D424" s="34"/>
      <c r="E424" s="34"/>
      <c r="F424" s="34"/>
      <c r="G424" s="34"/>
      <c r="H424" s="34"/>
      <c r="I424" s="34"/>
      <c r="J424" s="42" t="s">
        <v>56</v>
      </c>
      <c r="K424" s="23" t="s">
        <v>57</v>
      </c>
      <c r="L424" s="24">
        <v>24</v>
      </c>
      <c r="M424" s="39">
        <v>340104</v>
      </c>
      <c r="N424" s="26">
        <v>17096</v>
      </c>
      <c r="O424" s="27">
        <f t="shared" si="6"/>
        <v>377515.44000000006</v>
      </c>
    </row>
    <row r="425" spans="1:15" ht="12.2" customHeight="1" x14ac:dyDescent="0.25">
      <c r="A425" s="28"/>
      <c r="B425" s="33"/>
      <c r="C425" s="30" t="s">
        <v>163</v>
      </c>
      <c r="D425" s="31" t="s">
        <v>479</v>
      </c>
      <c r="E425" s="31" t="s">
        <v>454</v>
      </c>
      <c r="F425" s="31" t="s">
        <v>449</v>
      </c>
      <c r="G425" s="31" t="s">
        <v>455</v>
      </c>
      <c r="H425" s="31" t="s">
        <v>269</v>
      </c>
      <c r="I425" s="31" t="s">
        <v>305</v>
      </c>
      <c r="J425" s="22" t="s">
        <v>332</v>
      </c>
      <c r="K425" s="23" t="s">
        <v>333</v>
      </c>
      <c r="L425" s="24">
        <v>12</v>
      </c>
      <c r="M425" s="25">
        <v>335232</v>
      </c>
      <c r="N425" s="26">
        <v>32607</v>
      </c>
      <c r="O425" s="27">
        <f t="shared" si="6"/>
        <v>372107.52000000002</v>
      </c>
    </row>
    <row r="426" spans="1:15" ht="12.2" customHeight="1" x14ac:dyDescent="0.25">
      <c r="A426" s="28"/>
      <c r="B426" s="33"/>
      <c r="C426" s="33"/>
      <c r="D426" s="33"/>
      <c r="E426" s="33"/>
      <c r="F426" s="33"/>
      <c r="G426" s="33"/>
      <c r="H426" s="33"/>
      <c r="I426" s="33"/>
      <c r="J426" s="41" t="s">
        <v>66</v>
      </c>
      <c r="K426" s="22" t="s">
        <v>67</v>
      </c>
      <c r="L426" s="25">
        <v>24</v>
      </c>
      <c r="M426" s="24">
        <v>670464</v>
      </c>
      <c r="N426" s="25">
        <v>32607</v>
      </c>
      <c r="O426" s="27">
        <f t="shared" si="6"/>
        <v>744215.04000000004</v>
      </c>
    </row>
    <row r="427" spans="1:15" ht="12.2" customHeight="1" x14ac:dyDescent="0.25">
      <c r="A427" s="28"/>
      <c r="B427" s="33"/>
      <c r="C427" s="33"/>
      <c r="D427" s="33"/>
      <c r="E427" s="33"/>
      <c r="F427" s="33"/>
      <c r="G427" s="33"/>
      <c r="H427" s="33"/>
      <c r="I427" s="33"/>
      <c r="J427" s="22" t="s">
        <v>70</v>
      </c>
      <c r="K427" s="23" t="s">
        <v>71</v>
      </c>
      <c r="L427" s="24">
        <v>48</v>
      </c>
      <c r="M427" s="25">
        <v>810144</v>
      </c>
      <c r="N427" s="26">
        <v>19700</v>
      </c>
      <c r="O427" s="27">
        <f t="shared" si="6"/>
        <v>899259.84000000008</v>
      </c>
    </row>
    <row r="428" spans="1:15" ht="12.2" customHeight="1" x14ac:dyDescent="0.25">
      <c r="A428" s="28"/>
      <c r="B428" s="33"/>
      <c r="C428" s="33"/>
      <c r="D428" s="33"/>
      <c r="E428" s="33"/>
      <c r="F428" s="33"/>
      <c r="G428" s="33"/>
      <c r="H428" s="33"/>
      <c r="I428" s="33"/>
      <c r="J428" s="41" t="s">
        <v>72</v>
      </c>
      <c r="K428" s="22" t="s">
        <v>73</v>
      </c>
      <c r="L428" s="25">
        <v>24</v>
      </c>
      <c r="M428" s="24">
        <v>405072</v>
      </c>
      <c r="N428" s="25">
        <v>19700</v>
      </c>
      <c r="O428" s="27">
        <f t="shared" si="6"/>
        <v>449629.92000000004</v>
      </c>
    </row>
    <row r="429" spans="1:15" ht="12.2" customHeight="1" x14ac:dyDescent="0.25">
      <c r="A429" s="28"/>
      <c r="B429" s="33"/>
      <c r="C429" s="33"/>
      <c r="D429" s="33"/>
      <c r="E429" s="33"/>
      <c r="F429" s="33"/>
      <c r="G429" s="33"/>
      <c r="H429" s="33"/>
      <c r="I429" s="33"/>
      <c r="J429" s="22" t="s">
        <v>74</v>
      </c>
      <c r="K429" s="23" t="s">
        <v>75</v>
      </c>
      <c r="L429" s="24">
        <v>36</v>
      </c>
      <c r="M429" s="25">
        <v>607608</v>
      </c>
      <c r="N429" s="26">
        <v>19700</v>
      </c>
      <c r="O429" s="27">
        <f t="shared" si="6"/>
        <v>674444.88</v>
      </c>
    </row>
    <row r="430" spans="1:15" ht="12.2" customHeight="1" x14ac:dyDescent="0.25">
      <c r="A430" s="28"/>
      <c r="B430" s="33"/>
      <c r="C430" s="33"/>
      <c r="D430" s="33"/>
      <c r="E430" s="33"/>
      <c r="F430" s="33"/>
      <c r="G430" s="33"/>
      <c r="H430" s="33"/>
      <c r="I430" s="33"/>
      <c r="J430" s="41" t="s">
        <v>76</v>
      </c>
      <c r="K430" s="22" t="s">
        <v>77</v>
      </c>
      <c r="L430" s="25">
        <v>36</v>
      </c>
      <c r="M430" s="24">
        <v>607608</v>
      </c>
      <c r="N430" s="25">
        <v>19700</v>
      </c>
      <c r="O430" s="27">
        <f t="shared" si="6"/>
        <v>674444.88</v>
      </c>
    </row>
    <row r="431" spans="1:15" ht="12.2" customHeight="1" x14ac:dyDescent="0.25">
      <c r="A431" s="28"/>
      <c r="B431" s="33"/>
      <c r="C431" s="33"/>
      <c r="D431" s="33"/>
      <c r="E431" s="33"/>
      <c r="F431" s="33"/>
      <c r="G431" s="33"/>
      <c r="H431" s="33"/>
      <c r="I431" s="33"/>
      <c r="J431" s="22" t="s">
        <v>78</v>
      </c>
      <c r="K431" s="23" t="s">
        <v>79</v>
      </c>
      <c r="L431" s="24">
        <v>60</v>
      </c>
      <c r="M431" s="25">
        <v>1012680</v>
      </c>
      <c r="N431" s="26">
        <v>19700</v>
      </c>
      <c r="O431" s="27">
        <f t="shared" si="6"/>
        <v>1124074.8</v>
      </c>
    </row>
    <row r="432" spans="1:15" ht="12.2" customHeight="1" x14ac:dyDescent="0.25">
      <c r="A432" s="28"/>
      <c r="B432" s="33"/>
      <c r="C432" s="33"/>
      <c r="D432" s="34"/>
      <c r="E432" s="34"/>
      <c r="F432" s="34"/>
      <c r="G432" s="34"/>
      <c r="H432" s="34"/>
      <c r="I432" s="34"/>
      <c r="J432" s="41" t="s">
        <v>37</v>
      </c>
      <c r="K432" s="22" t="s">
        <v>38</v>
      </c>
      <c r="L432" s="25">
        <v>156</v>
      </c>
      <c r="M432" s="24">
        <v>2859948</v>
      </c>
      <c r="N432" s="25">
        <v>23776</v>
      </c>
      <c r="O432" s="27">
        <f t="shared" si="6"/>
        <v>3174542.2800000003</v>
      </c>
    </row>
    <row r="433" spans="1:15" ht="12.2" customHeight="1" x14ac:dyDescent="0.25">
      <c r="A433" s="28"/>
      <c r="B433" s="33"/>
      <c r="C433" s="33"/>
      <c r="D433" s="31" t="s">
        <v>480</v>
      </c>
      <c r="E433" s="31" t="s">
        <v>460</v>
      </c>
      <c r="F433" s="31" t="s">
        <v>449</v>
      </c>
      <c r="G433" s="31" t="s">
        <v>461</v>
      </c>
      <c r="H433" s="31" t="s">
        <v>269</v>
      </c>
      <c r="I433" s="31" t="s">
        <v>305</v>
      </c>
      <c r="J433" s="22" t="s">
        <v>332</v>
      </c>
      <c r="K433" s="23" t="s">
        <v>333</v>
      </c>
      <c r="L433" s="24">
        <v>12</v>
      </c>
      <c r="M433" s="25">
        <v>335232</v>
      </c>
      <c r="N433" s="26">
        <v>32607</v>
      </c>
      <c r="O433" s="27">
        <f t="shared" si="6"/>
        <v>372107.52000000002</v>
      </c>
    </row>
    <row r="434" spans="1:15" ht="12.2" customHeight="1" x14ac:dyDescent="0.25">
      <c r="A434" s="28"/>
      <c r="B434" s="33"/>
      <c r="C434" s="33"/>
      <c r="D434" s="33"/>
      <c r="E434" s="33"/>
      <c r="F434" s="33"/>
      <c r="G434" s="33"/>
      <c r="H434" s="33"/>
      <c r="I434" s="33"/>
      <c r="J434" s="41" t="s">
        <v>66</v>
      </c>
      <c r="K434" s="22" t="s">
        <v>67</v>
      </c>
      <c r="L434" s="25">
        <v>12</v>
      </c>
      <c r="M434" s="24">
        <v>335232</v>
      </c>
      <c r="N434" s="25">
        <v>32607</v>
      </c>
      <c r="O434" s="27">
        <f t="shared" si="6"/>
        <v>372107.52000000002</v>
      </c>
    </row>
    <row r="435" spans="1:15" ht="12.2" customHeight="1" x14ac:dyDescent="0.25">
      <c r="A435" s="28"/>
      <c r="B435" s="33"/>
      <c r="C435" s="33"/>
      <c r="D435" s="33"/>
      <c r="E435" s="33"/>
      <c r="F435" s="33"/>
      <c r="G435" s="33"/>
      <c r="H435" s="33"/>
      <c r="I435" s="33"/>
      <c r="J435" s="22" t="s">
        <v>70</v>
      </c>
      <c r="K435" s="85" t="s">
        <v>71</v>
      </c>
      <c r="L435" s="24">
        <v>72</v>
      </c>
      <c r="M435" s="87">
        <v>1215216</v>
      </c>
      <c r="N435" s="26">
        <v>19700</v>
      </c>
      <c r="O435" s="27">
        <f t="shared" si="6"/>
        <v>1348889.76</v>
      </c>
    </row>
    <row r="436" spans="1:15" ht="12.2" customHeight="1" x14ac:dyDescent="0.25">
      <c r="A436" s="28"/>
      <c r="B436" s="33"/>
      <c r="C436" s="33"/>
      <c r="D436" s="33"/>
      <c r="E436" s="33"/>
      <c r="F436" s="33"/>
      <c r="G436" s="33"/>
      <c r="H436" s="33"/>
      <c r="I436" s="33"/>
      <c r="J436" s="88" t="s">
        <v>80</v>
      </c>
      <c r="K436" s="22" t="s">
        <v>81</v>
      </c>
      <c r="L436" s="89">
        <v>36</v>
      </c>
      <c r="M436" s="24">
        <v>488880</v>
      </c>
      <c r="N436" s="44">
        <v>15851</v>
      </c>
      <c r="O436" s="27">
        <f t="shared" si="6"/>
        <v>542656.80000000005</v>
      </c>
    </row>
    <row r="437" spans="1:15" ht="12.2" customHeight="1" x14ac:dyDescent="0.25">
      <c r="A437" s="28"/>
      <c r="B437" s="33"/>
      <c r="C437" s="33"/>
      <c r="D437" s="33"/>
      <c r="E437" s="33"/>
      <c r="F437" s="33"/>
      <c r="G437" s="33"/>
      <c r="H437" s="33"/>
      <c r="I437" s="33"/>
      <c r="J437" s="22" t="s">
        <v>35</v>
      </c>
      <c r="K437" s="90" t="s">
        <v>36</v>
      </c>
      <c r="L437" s="24">
        <v>84</v>
      </c>
      <c r="M437" s="89">
        <v>1140720</v>
      </c>
      <c r="N437" s="26">
        <v>15851</v>
      </c>
      <c r="O437" s="27">
        <f t="shared" si="6"/>
        <v>1266199.2000000002</v>
      </c>
    </row>
    <row r="438" spans="1:15" ht="12.2" customHeight="1" x14ac:dyDescent="0.25">
      <c r="A438" s="28"/>
      <c r="B438" s="33"/>
      <c r="C438" s="33"/>
      <c r="D438" s="33"/>
      <c r="E438" s="33"/>
      <c r="F438" s="33"/>
      <c r="G438" s="33"/>
      <c r="H438" s="33"/>
      <c r="I438" s="33"/>
      <c r="J438" s="91" t="s">
        <v>82</v>
      </c>
      <c r="K438" s="22" t="s">
        <v>83</v>
      </c>
      <c r="L438" s="89">
        <v>96</v>
      </c>
      <c r="M438" s="24">
        <v>1759968</v>
      </c>
      <c r="N438" s="44">
        <v>23776</v>
      </c>
      <c r="O438" s="27">
        <f t="shared" si="6"/>
        <v>1953564.4800000002</v>
      </c>
    </row>
    <row r="439" spans="1:15" ht="12.2" customHeight="1" x14ac:dyDescent="0.25">
      <c r="A439" s="28"/>
      <c r="B439" s="33"/>
      <c r="C439" s="33"/>
      <c r="D439" s="33"/>
      <c r="E439" s="33"/>
      <c r="F439" s="33"/>
      <c r="G439" s="33"/>
      <c r="H439" s="33"/>
      <c r="I439" s="33"/>
      <c r="J439" s="22" t="s">
        <v>37</v>
      </c>
      <c r="K439" s="90" t="s">
        <v>38</v>
      </c>
      <c r="L439" s="24">
        <v>180</v>
      </c>
      <c r="M439" s="89">
        <v>3299940</v>
      </c>
      <c r="N439" s="26">
        <v>23776</v>
      </c>
      <c r="O439" s="27">
        <f t="shared" si="6"/>
        <v>3662933.4000000004</v>
      </c>
    </row>
    <row r="440" spans="1:15" ht="12.2" customHeight="1" x14ac:dyDescent="0.25">
      <c r="A440" s="28"/>
      <c r="B440" s="33"/>
      <c r="C440" s="33"/>
      <c r="D440" s="34"/>
      <c r="E440" s="34"/>
      <c r="F440" s="34"/>
      <c r="G440" s="34"/>
      <c r="H440" s="34"/>
      <c r="I440" s="34"/>
      <c r="J440" s="91" t="s">
        <v>144</v>
      </c>
      <c r="K440" s="22" t="s">
        <v>145</v>
      </c>
      <c r="L440" s="89">
        <v>168</v>
      </c>
      <c r="M440" s="24">
        <v>2460696</v>
      </c>
      <c r="N440" s="44">
        <v>17096</v>
      </c>
      <c r="O440" s="27">
        <f t="shared" si="6"/>
        <v>2731372.56</v>
      </c>
    </row>
    <row r="441" spans="1:15" ht="12.2" customHeight="1" x14ac:dyDescent="0.25">
      <c r="A441" s="28"/>
      <c r="B441" s="33"/>
      <c r="C441" s="34"/>
      <c r="D441" s="22" t="s">
        <v>481</v>
      </c>
      <c r="E441" s="42" t="s">
        <v>437</v>
      </c>
      <c r="F441" s="22" t="s">
        <v>438</v>
      </c>
      <c r="G441" s="42" t="s">
        <v>439</v>
      </c>
      <c r="H441" s="22" t="s">
        <v>440</v>
      </c>
      <c r="I441" s="42" t="s">
        <v>305</v>
      </c>
      <c r="J441" s="22" t="s">
        <v>37</v>
      </c>
      <c r="K441" s="92" t="s">
        <v>38</v>
      </c>
      <c r="L441" s="24">
        <v>444</v>
      </c>
      <c r="M441" s="93">
        <v>8750341</v>
      </c>
      <c r="N441" s="26">
        <v>23776</v>
      </c>
      <c r="O441" s="27">
        <f t="shared" si="6"/>
        <v>9712878.5100000016</v>
      </c>
    </row>
    <row r="442" spans="1:15" ht="12.2" customHeight="1" x14ac:dyDescent="0.25">
      <c r="A442" s="28"/>
      <c r="B442" s="33"/>
      <c r="C442" s="30" t="s">
        <v>185</v>
      </c>
      <c r="D442" s="31" t="s">
        <v>482</v>
      </c>
      <c r="E442" s="31" t="s">
        <v>448</v>
      </c>
      <c r="F442" s="31" t="s">
        <v>449</v>
      </c>
      <c r="G442" s="31" t="s">
        <v>450</v>
      </c>
      <c r="H442" s="31" t="s">
        <v>48</v>
      </c>
      <c r="I442" s="31" t="s">
        <v>305</v>
      </c>
      <c r="J442" s="22" t="s">
        <v>68</v>
      </c>
      <c r="K442" s="85" t="s">
        <v>69</v>
      </c>
      <c r="L442" s="24">
        <v>12</v>
      </c>
      <c r="M442" s="87">
        <v>335232</v>
      </c>
      <c r="N442" s="26">
        <v>32607</v>
      </c>
      <c r="O442" s="27">
        <f t="shared" si="6"/>
        <v>372107.52000000002</v>
      </c>
    </row>
    <row r="443" spans="1:15" ht="12.2" customHeight="1" x14ac:dyDescent="0.25">
      <c r="A443" s="28"/>
      <c r="B443" s="33"/>
      <c r="C443" s="33"/>
      <c r="D443" s="33"/>
      <c r="E443" s="33"/>
      <c r="F443" s="33"/>
      <c r="G443" s="33"/>
      <c r="H443" s="33"/>
      <c r="I443" s="33"/>
      <c r="J443" s="91" t="s">
        <v>74</v>
      </c>
      <c r="K443" s="22" t="s">
        <v>75</v>
      </c>
      <c r="L443" s="89">
        <v>12</v>
      </c>
      <c r="M443" s="24">
        <v>202536</v>
      </c>
      <c r="N443" s="44">
        <v>19700</v>
      </c>
      <c r="O443" s="27">
        <f t="shared" si="6"/>
        <v>224814.96000000002</v>
      </c>
    </row>
    <row r="444" spans="1:15" ht="12.2" customHeight="1" x14ac:dyDescent="0.25">
      <c r="A444" s="28"/>
      <c r="B444" s="33"/>
      <c r="C444" s="33"/>
      <c r="D444" s="33"/>
      <c r="E444" s="33"/>
      <c r="F444" s="33"/>
      <c r="G444" s="33"/>
      <c r="H444" s="33"/>
      <c r="I444" s="33"/>
      <c r="J444" s="22" t="s">
        <v>76</v>
      </c>
      <c r="K444" s="90" t="s">
        <v>77</v>
      </c>
      <c r="L444" s="24">
        <v>12</v>
      </c>
      <c r="M444" s="89">
        <v>202536</v>
      </c>
      <c r="N444" s="26">
        <v>19700</v>
      </c>
      <c r="O444" s="27">
        <f t="shared" si="6"/>
        <v>224814.96000000002</v>
      </c>
    </row>
    <row r="445" spans="1:15" ht="12.2" customHeight="1" x14ac:dyDescent="0.25">
      <c r="A445" s="28"/>
      <c r="B445" s="33"/>
      <c r="C445" s="33"/>
      <c r="D445" s="33"/>
      <c r="E445" s="33"/>
      <c r="F445" s="33"/>
      <c r="G445" s="33"/>
      <c r="H445" s="33"/>
      <c r="I445" s="33"/>
      <c r="J445" s="91" t="s">
        <v>78</v>
      </c>
      <c r="K445" s="22" t="s">
        <v>79</v>
      </c>
      <c r="L445" s="89">
        <v>12</v>
      </c>
      <c r="M445" s="24">
        <v>202536</v>
      </c>
      <c r="N445" s="44">
        <v>19700</v>
      </c>
      <c r="O445" s="27">
        <f t="shared" si="6"/>
        <v>224814.96000000002</v>
      </c>
    </row>
    <row r="446" spans="1:15" ht="12.2" customHeight="1" x14ac:dyDescent="0.25">
      <c r="A446" s="28"/>
      <c r="B446" s="33"/>
      <c r="C446" s="33"/>
      <c r="D446" s="33"/>
      <c r="E446" s="33"/>
      <c r="F446" s="33"/>
      <c r="G446" s="33"/>
      <c r="H446" s="33"/>
      <c r="I446" s="33"/>
      <c r="J446" s="22" t="s">
        <v>80</v>
      </c>
      <c r="K446" s="90" t="s">
        <v>81</v>
      </c>
      <c r="L446" s="24">
        <v>24</v>
      </c>
      <c r="M446" s="89">
        <v>325920</v>
      </c>
      <c r="N446" s="26">
        <v>15851</v>
      </c>
      <c r="O446" s="27">
        <f t="shared" si="6"/>
        <v>361771.2</v>
      </c>
    </row>
    <row r="447" spans="1:15" ht="12.2" customHeight="1" x14ac:dyDescent="0.25">
      <c r="A447" s="28"/>
      <c r="B447" s="33"/>
      <c r="C447" s="33"/>
      <c r="D447" s="33"/>
      <c r="E447" s="33"/>
      <c r="F447" s="33"/>
      <c r="G447" s="33"/>
      <c r="H447" s="33"/>
      <c r="I447" s="33"/>
      <c r="J447" s="91" t="s">
        <v>35</v>
      </c>
      <c r="K447" s="22" t="s">
        <v>36</v>
      </c>
      <c r="L447" s="89">
        <v>84</v>
      </c>
      <c r="M447" s="24">
        <v>1140720</v>
      </c>
      <c r="N447" s="44">
        <v>15851</v>
      </c>
      <c r="O447" s="27">
        <f t="shared" si="6"/>
        <v>1266199.2000000002</v>
      </c>
    </row>
    <row r="448" spans="1:15" ht="12.2" customHeight="1" x14ac:dyDescent="0.25">
      <c r="A448" s="28"/>
      <c r="B448" s="33"/>
      <c r="C448" s="33"/>
      <c r="D448" s="33"/>
      <c r="E448" s="33"/>
      <c r="F448" s="33"/>
      <c r="G448" s="33"/>
      <c r="H448" s="33"/>
      <c r="I448" s="33"/>
      <c r="J448" s="22" t="s">
        <v>82</v>
      </c>
      <c r="K448" s="43" t="s">
        <v>83</v>
      </c>
      <c r="L448" s="24">
        <v>60</v>
      </c>
      <c r="M448" s="44">
        <v>1099980</v>
      </c>
      <c r="N448" s="26">
        <v>23776</v>
      </c>
      <c r="O448" s="27">
        <f t="shared" si="6"/>
        <v>1220977.8</v>
      </c>
    </row>
    <row r="449" spans="1:15" ht="12.2" customHeight="1" x14ac:dyDescent="0.25">
      <c r="A449" s="28"/>
      <c r="B449" s="33"/>
      <c r="C449" s="33"/>
      <c r="D449" s="33"/>
      <c r="E449" s="33"/>
      <c r="F449" s="33"/>
      <c r="G449" s="33"/>
      <c r="H449" s="33"/>
      <c r="I449" s="33"/>
      <c r="J449" s="47" t="s">
        <v>37</v>
      </c>
      <c r="K449" s="22" t="s">
        <v>38</v>
      </c>
      <c r="L449" s="44">
        <v>60</v>
      </c>
      <c r="M449" s="24">
        <v>1099980</v>
      </c>
      <c r="N449" s="44">
        <v>23776</v>
      </c>
      <c r="O449" s="27">
        <f t="shared" si="6"/>
        <v>1220977.8</v>
      </c>
    </row>
    <row r="450" spans="1:15" ht="12.2" customHeight="1" x14ac:dyDescent="0.25">
      <c r="A450" s="28"/>
      <c r="B450" s="33"/>
      <c r="C450" s="33"/>
      <c r="D450" s="33"/>
      <c r="E450" s="33"/>
      <c r="F450" s="33"/>
      <c r="G450" s="33"/>
      <c r="H450" s="33"/>
      <c r="I450" s="33"/>
      <c r="J450" s="22" t="s">
        <v>104</v>
      </c>
      <c r="K450" s="43" t="s">
        <v>105</v>
      </c>
      <c r="L450" s="24">
        <v>6</v>
      </c>
      <c r="M450" s="44">
        <v>235128</v>
      </c>
      <c r="N450" s="26">
        <v>45741</v>
      </c>
      <c r="O450" s="27">
        <f t="shared" si="6"/>
        <v>260992.08000000002</v>
      </c>
    </row>
    <row r="451" spans="1:15" ht="12.2" customHeight="1" x14ac:dyDescent="0.25">
      <c r="A451" s="28"/>
      <c r="B451" s="33"/>
      <c r="C451" s="33"/>
      <c r="D451" s="33"/>
      <c r="E451" s="33"/>
      <c r="F451" s="33"/>
      <c r="G451" s="33"/>
      <c r="H451" s="33"/>
      <c r="I451" s="33"/>
      <c r="J451" s="47" t="s">
        <v>27</v>
      </c>
      <c r="K451" s="22" t="s">
        <v>28</v>
      </c>
      <c r="L451" s="44">
        <v>30</v>
      </c>
      <c r="M451" s="24">
        <v>1175640</v>
      </c>
      <c r="N451" s="44">
        <v>45741</v>
      </c>
      <c r="O451" s="27">
        <f t="shared" si="6"/>
        <v>1304960.4000000001</v>
      </c>
    </row>
    <row r="452" spans="1:15" ht="12.2" customHeight="1" x14ac:dyDescent="0.25">
      <c r="A452" s="28"/>
      <c r="B452" s="33"/>
      <c r="C452" s="33"/>
      <c r="D452" s="33"/>
      <c r="E452" s="33"/>
      <c r="F452" s="33"/>
      <c r="G452" s="33"/>
      <c r="H452" s="33"/>
      <c r="I452" s="33"/>
      <c r="J452" s="22" t="s">
        <v>307</v>
      </c>
      <c r="K452" s="43" t="s">
        <v>308</v>
      </c>
      <c r="L452" s="24">
        <v>8</v>
      </c>
      <c r="M452" s="44">
        <v>556392</v>
      </c>
      <c r="N452" s="26">
        <v>81179</v>
      </c>
      <c r="O452" s="27">
        <f t="shared" si="6"/>
        <v>617595.12000000011</v>
      </c>
    </row>
    <row r="453" spans="1:15" ht="12.2" customHeight="1" x14ac:dyDescent="0.25">
      <c r="A453" s="28"/>
      <c r="B453" s="33"/>
      <c r="C453" s="33"/>
      <c r="D453" s="33"/>
      <c r="E453" s="33"/>
      <c r="F453" s="33"/>
      <c r="G453" s="33"/>
      <c r="H453" s="33"/>
      <c r="I453" s="33"/>
      <c r="J453" s="47" t="s">
        <v>309</v>
      </c>
      <c r="K453" s="22" t="s">
        <v>310</v>
      </c>
      <c r="L453" s="44">
        <v>8</v>
      </c>
      <c r="M453" s="24">
        <v>556392</v>
      </c>
      <c r="N453" s="44">
        <v>81179</v>
      </c>
      <c r="O453" s="27">
        <f t="shared" si="6"/>
        <v>617595.12000000011</v>
      </c>
    </row>
    <row r="454" spans="1:15" ht="12.2" customHeight="1" x14ac:dyDescent="0.25">
      <c r="A454" s="28"/>
      <c r="B454" s="33"/>
      <c r="C454" s="33"/>
      <c r="D454" s="34"/>
      <c r="E454" s="34"/>
      <c r="F454" s="34"/>
      <c r="G454" s="34"/>
      <c r="H454" s="34"/>
      <c r="I454" s="34"/>
      <c r="J454" s="22" t="s">
        <v>144</v>
      </c>
      <c r="K454" s="43" t="s">
        <v>145</v>
      </c>
      <c r="L454" s="24">
        <v>24</v>
      </c>
      <c r="M454" s="44">
        <v>351528</v>
      </c>
      <c r="N454" s="26">
        <v>17096</v>
      </c>
      <c r="O454" s="27">
        <f t="shared" si="6"/>
        <v>390196.08</v>
      </c>
    </row>
    <row r="455" spans="1:15" ht="12.2" customHeight="1" x14ac:dyDescent="0.25">
      <c r="A455" s="28"/>
      <c r="B455" s="33"/>
      <c r="C455" s="33"/>
      <c r="D455" s="31" t="s">
        <v>483</v>
      </c>
      <c r="E455" s="31" t="s">
        <v>452</v>
      </c>
      <c r="F455" s="31" t="s">
        <v>449</v>
      </c>
      <c r="G455" s="31" t="s">
        <v>343</v>
      </c>
      <c r="H455" s="31" t="s">
        <v>343</v>
      </c>
      <c r="I455" s="31" t="s">
        <v>305</v>
      </c>
      <c r="J455" s="43" t="s">
        <v>70</v>
      </c>
      <c r="K455" s="22" t="s">
        <v>71</v>
      </c>
      <c r="L455" s="44">
        <v>24</v>
      </c>
      <c r="M455" s="24">
        <v>405072</v>
      </c>
      <c r="N455" s="44">
        <v>19700</v>
      </c>
      <c r="O455" s="27">
        <f t="shared" ref="O455:O518" si="7">M455*1.11</f>
        <v>449629.92000000004</v>
      </c>
    </row>
    <row r="456" spans="1:15" ht="12.2" customHeight="1" x14ac:dyDescent="0.25">
      <c r="A456" s="28"/>
      <c r="B456" s="33"/>
      <c r="C456" s="33"/>
      <c r="D456" s="33"/>
      <c r="E456" s="33"/>
      <c r="F456" s="33"/>
      <c r="G456" s="33"/>
      <c r="H456" s="33"/>
      <c r="I456" s="33"/>
      <c r="J456" s="22" t="s">
        <v>74</v>
      </c>
      <c r="K456" s="43" t="s">
        <v>75</v>
      </c>
      <c r="L456" s="24">
        <v>12</v>
      </c>
      <c r="M456" s="44">
        <v>202536</v>
      </c>
      <c r="N456" s="26">
        <v>19700</v>
      </c>
      <c r="O456" s="27">
        <f t="shared" si="7"/>
        <v>224814.96000000002</v>
      </c>
    </row>
    <row r="457" spans="1:15" ht="12.2" customHeight="1" x14ac:dyDescent="0.25">
      <c r="A457" s="28"/>
      <c r="B457" s="33"/>
      <c r="C457" s="33"/>
      <c r="D457" s="33"/>
      <c r="E457" s="33"/>
      <c r="F457" s="33"/>
      <c r="G457" s="33"/>
      <c r="H457" s="33"/>
      <c r="I457" s="33"/>
      <c r="J457" s="43" t="s">
        <v>78</v>
      </c>
      <c r="K457" s="22" t="s">
        <v>79</v>
      </c>
      <c r="L457" s="44">
        <v>12</v>
      </c>
      <c r="M457" s="24">
        <v>202536</v>
      </c>
      <c r="N457" s="44">
        <v>19700</v>
      </c>
      <c r="O457" s="27">
        <f t="shared" si="7"/>
        <v>224814.96000000002</v>
      </c>
    </row>
    <row r="458" spans="1:15" ht="12.2" customHeight="1" x14ac:dyDescent="0.25">
      <c r="A458" s="28"/>
      <c r="B458" s="33"/>
      <c r="C458" s="33"/>
      <c r="D458" s="70"/>
      <c r="E458" s="34"/>
      <c r="F458" s="70"/>
      <c r="G458" s="34"/>
      <c r="H458" s="70"/>
      <c r="I458" s="34"/>
      <c r="J458" s="22" t="s">
        <v>37</v>
      </c>
      <c r="K458" s="43" t="s">
        <v>38</v>
      </c>
      <c r="L458" s="24">
        <v>12</v>
      </c>
      <c r="M458" s="44">
        <v>219996</v>
      </c>
      <c r="N458" s="26">
        <v>23776</v>
      </c>
      <c r="O458" s="27">
        <f t="shared" si="7"/>
        <v>244195.56000000003</v>
      </c>
    </row>
    <row r="459" spans="1:15" ht="12.2" customHeight="1" x14ac:dyDescent="0.25">
      <c r="A459" s="28"/>
      <c r="B459" s="33"/>
      <c r="C459" s="33"/>
      <c r="D459" s="71" t="s">
        <v>484</v>
      </c>
      <c r="E459" s="31" t="s">
        <v>457</v>
      </c>
      <c r="F459" s="71" t="s">
        <v>449</v>
      </c>
      <c r="G459" s="31" t="s">
        <v>458</v>
      </c>
      <c r="H459" s="71" t="s">
        <v>360</v>
      </c>
      <c r="I459" s="31" t="s">
        <v>305</v>
      </c>
      <c r="J459" s="43" t="s">
        <v>68</v>
      </c>
      <c r="K459" s="22" t="s">
        <v>69</v>
      </c>
      <c r="L459" s="44">
        <v>12</v>
      </c>
      <c r="M459" s="24">
        <v>335232</v>
      </c>
      <c r="N459" s="44">
        <v>32607</v>
      </c>
      <c r="O459" s="27">
        <f t="shared" si="7"/>
        <v>372107.52000000002</v>
      </c>
    </row>
    <row r="460" spans="1:15" ht="12.2" customHeight="1" x14ac:dyDescent="0.25">
      <c r="A460" s="28"/>
      <c r="B460" s="33"/>
      <c r="C460" s="33"/>
      <c r="D460" s="33"/>
      <c r="E460" s="33"/>
      <c r="F460" s="33"/>
      <c r="G460" s="33"/>
      <c r="H460" s="33"/>
      <c r="I460" s="33"/>
      <c r="J460" s="22" t="s">
        <v>78</v>
      </c>
      <c r="K460" s="43" t="s">
        <v>79</v>
      </c>
      <c r="L460" s="24">
        <v>12</v>
      </c>
      <c r="M460" s="44">
        <v>202536</v>
      </c>
      <c r="N460" s="26">
        <v>19700</v>
      </c>
      <c r="O460" s="27">
        <f t="shared" si="7"/>
        <v>224814.96000000002</v>
      </c>
    </row>
    <row r="461" spans="1:15" ht="12.2" customHeight="1" x14ac:dyDescent="0.25">
      <c r="A461" s="28"/>
      <c r="B461" s="33"/>
      <c r="C461" s="33"/>
      <c r="D461" s="33"/>
      <c r="E461" s="33"/>
      <c r="F461" s="33"/>
      <c r="G461" s="33"/>
      <c r="H461" s="33"/>
      <c r="I461" s="33"/>
      <c r="J461" s="43" t="s">
        <v>307</v>
      </c>
      <c r="K461" s="22" t="s">
        <v>308</v>
      </c>
      <c r="L461" s="25">
        <v>8</v>
      </c>
      <c r="M461" s="24">
        <v>556392</v>
      </c>
      <c r="N461" s="25">
        <v>81179</v>
      </c>
      <c r="O461" s="27">
        <f t="shared" si="7"/>
        <v>617595.12000000011</v>
      </c>
    </row>
    <row r="462" spans="1:15" ht="12.2" customHeight="1" x14ac:dyDescent="0.25">
      <c r="A462" s="28"/>
      <c r="B462" s="33"/>
      <c r="C462" s="33"/>
      <c r="D462" s="34"/>
      <c r="E462" s="34"/>
      <c r="F462" s="34"/>
      <c r="G462" s="34"/>
      <c r="H462" s="34"/>
      <c r="I462" s="34"/>
      <c r="J462" s="42" t="s">
        <v>144</v>
      </c>
      <c r="K462" s="23" t="s">
        <v>145</v>
      </c>
      <c r="L462" s="24">
        <v>24</v>
      </c>
      <c r="M462" s="25">
        <v>351528</v>
      </c>
      <c r="N462" s="26">
        <v>17096</v>
      </c>
      <c r="O462" s="27">
        <f t="shared" si="7"/>
        <v>390196.08</v>
      </c>
    </row>
    <row r="463" spans="1:15" ht="12.2" customHeight="1" x14ac:dyDescent="0.25">
      <c r="A463" s="28"/>
      <c r="B463" s="33"/>
      <c r="C463" s="33"/>
      <c r="D463" s="31" t="s">
        <v>485</v>
      </c>
      <c r="E463" s="31" t="s">
        <v>442</v>
      </c>
      <c r="F463" s="31" t="s">
        <v>443</v>
      </c>
      <c r="G463" s="31" t="s">
        <v>444</v>
      </c>
      <c r="H463" s="31" t="s">
        <v>371</v>
      </c>
      <c r="I463" s="31" t="s">
        <v>305</v>
      </c>
      <c r="J463" s="23" t="s">
        <v>332</v>
      </c>
      <c r="K463" s="22" t="s">
        <v>333</v>
      </c>
      <c r="L463" s="25">
        <v>12</v>
      </c>
      <c r="M463" s="24">
        <v>335232</v>
      </c>
      <c r="N463" s="25">
        <v>32607</v>
      </c>
      <c r="O463" s="27">
        <f t="shared" si="7"/>
        <v>372107.52000000002</v>
      </c>
    </row>
    <row r="464" spans="1:15" ht="12.2" customHeight="1" x14ac:dyDescent="0.25">
      <c r="A464" s="28"/>
      <c r="B464" s="33"/>
      <c r="C464" s="33"/>
      <c r="D464" s="33"/>
      <c r="E464" s="33"/>
      <c r="F464" s="33"/>
      <c r="G464" s="33"/>
      <c r="H464" s="33"/>
      <c r="I464" s="33"/>
      <c r="J464" s="22" t="s">
        <v>72</v>
      </c>
      <c r="K464" s="23" t="s">
        <v>73</v>
      </c>
      <c r="L464" s="24">
        <v>24</v>
      </c>
      <c r="M464" s="25">
        <v>405072</v>
      </c>
      <c r="N464" s="26">
        <v>19700</v>
      </c>
      <c r="O464" s="27">
        <f t="shared" si="7"/>
        <v>449629.92000000004</v>
      </c>
    </row>
    <row r="465" spans="1:15" ht="12.2" customHeight="1" x14ac:dyDescent="0.25">
      <c r="A465" s="28"/>
      <c r="B465" s="33"/>
      <c r="C465" s="33"/>
      <c r="D465" s="33"/>
      <c r="E465" s="33"/>
      <c r="F465" s="33"/>
      <c r="G465" s="33"/>
      <c r="H465" s="33"/>
      <c r="I465" s="33"/>
      <c r="J465" s="23" t="s">
        <v>78</v>
      </c>
      <c r="K465" s="22" t="s">
        <v>79</v>
      </c>
      <c r="L465" s="25">
        <v>12</v>
      </c>
      <c r="M465" s="24">
        <v>202536</v>
      </c>
      <c r="N465" s="25">
        <v>19700</v>
      </c>
      <c r="O465" s="27">
        <f t="shared" si="7"/>
        <v>224814.96000000002</v>
      </c>
    </row>
    <row r="466" spans="1:15" ht="12.2" customHeight="1" x14ac:dyDescent="0.25">
      <c r="A466" s="28"/>
      <c r="B466" s="33"/>
      <c r="C466" s="33"/>
      <c r="D466" s="33"/>
      <c r="E466" s="33"/>
      <c r="F466" s="33"/>
      <c r="G466" s="33"/>
      <c r="H466" s="33"/>
      <c r="I466" s="33"/>
      <c r="J466" s="22" t="s">
        <v>35</v>
      </c>
      <c r="K466" s="23" t="s">
        <v>36</v>
      </c>
      <c r="L466" s="24">
        <v>24</v>
      </c>
      <c r="M466" s="25">
        <v>325920</v>
      </c>
      <c r="N466" s="26">
        <v>15851</v>
      </c>
      <c r="O466" s="27">
        <f t="shared" si="7"/>
        <v>361771.2</v>
      </c>
    </row>
    <row r="467" spans="1:15" ht="12.2" customHeight="1" x14ac:dyDescent="0.25">
      <c r="A467" s="28"/>
      <c r="B467" s="33"/>
      <c r="C467" s="33"/>
      <c r="D467" s="33"/>
      <c r="E467" s="33"/>
      <c r="F467" s="33"/>
      <c r="G467" s="33"/>
      <c r="H467" s="33"/>
      <c r="I467" s="33"/>
      <c r="J467" s="23" t="s">
        <v>82</v>
      </c>
      <c r="K467" s="22" t="s">
        <v>83</v>
      </c>
      <c r="L467" s="25">
        <v>12</v>
      </c>
      <c r="M467" s="24">
        <v>219996</v>
      </c>
      <c r="N467" s="25">
        <v>23776</v>
      </c>
      <c r="O467" s="27">
        <f t="shared" si="7"/>
        <v>244195.56000000003</v>
      </c>
    </row>
    <row r="468" spans="1:15" ht="12.2" customHeight="1" x14ac:dyDescent="0.25">
      <c r="A468" s="28"/>
      <c r="B468" s="33"/>
      <c r="C468" s="33"/>
      <c r="D468" s="33"/>
      <c r="E468" s="33"/>
      <c r="F468" s="33"/>
      <c r="G468" s="33"/>
      <c r="H468" s="33"/>
      <c r="I468" s="33"/>
      <c r="J468" s="22" t="s">
        <v>37</v>
      </c>
      <c r="K468" s="23" t="s">
        <v>38</v>
      </c>
      <c r="L468" s="24">
        <v>24</v>
      </c>
      <c r="M468" s="25">
        <v>439992</v>
      </c>
      <c r="N468" s="26">
        <v>23776</v>
      </c>
      <c r="O468" s="27">
        <f t="shared" si="7"/>
        <v>488391.12000000005</v>
      </c>
    </row>
    <row r="469" spans="1:15" ht="12.2" customHeight="1" x14ac:dyDescent="0.25">
      <c r="A469" s="28"/>
      <c r="B469" s="33"/>
      <c r="C469" s="33"/>
      <c r="D469" s="33"/>
      <c r="E469" s="33"/>
      <c r="F469" s="33"/>
      <c r="G469" s="33"/>
      <c r="H469" s="33"/>
      <c r="I469" s="33"/>
      <c r="J469" s="23" t="s">
        <v>27</v>
      </c>
      <c r="K469" s="22" t="s">
        <v>28</v>
      </c>
      <c r="L469" s="25">
        <v>12</v>
      </c>
      <c r="M469" s="24">
        <v>470256</v>
      </c>
      <c r="N469" s="25">
        <v>45741</v>
      </c>
      <c r="O469" s="27">
        <f t="shared" si="7"/>
        <v>521984.16000000003</v>
      </c>
    </row>
    <row r="470" spans="1:15" ht="12.2" customHeight="1" x14ac:dyDescent="0.25">
      <c r="A470" s="28"/>
      <c r="B470" s="33"/>
      <c r="C470" s="34"/>
      <c r="D470" s="34"/>
      <c r="E470" s="34"/>
      <c r="F470" s="34"/>
      <c r="G470" s="34"/>
      <c r="H470" s="34"/>
      <c r="I470" s="34"/>
      <c r="J470" s="22" t="s">
        <v>307</v>
      </c>
      <c r="K470" s="38" t="s">
        <v>308</v>
      </c>
      <c r="L470" s="24">
        <v>4</v>
      </c>
      <c r="M470" s="39">
        <v>278196</v>
      </c>
      <c r="N470" s="26">
        <v>81179</v>
      </c>
      <c r="O470" s="27">
        <f t="shared" si="7"/>
        <v>308797.56000000006</v>
      </c>
    </row>
    <row r="471" spans="1:15" ht="12.2" customHeight="1" x14ac:dyDescent="0.25">
      <c r="A471" s="28"/>
      <c r="B471" s="33"/>
      <c r="C471" s="30" t="s">
        <v>194</v>
      </c>
      <c r="D471" s="31" t="s">
        <v>486</v>
      </c>
      <c r="E471" s="31" t="s">
        <v>437</v>
      </c>
      <c r="F471" s="31" t="s">
        <v>438</v>
      </c>
      <c r="G471" s="31" t="s">
        <v>439</v>
      </c>
      <c r="H471" s="31" t="s">
        <v>440</v>
      </c>
      <c r="I471" s="31" t="s">
        <v>305</v>
      </c>
      <c r="J471" s="22" t="s">
        <v>37</v>
      </c>
      <c r="K471" s="23" t="s">
        <v>38</v>
      </c>
      <c r="L471" s="24">
        <v>48</v>
      </c>
      <c r="M471" s="25">
        <v>945983</v>
      </c>
      <c r="N471" s="26">
        <v>23776</v>
      </c>
      <c r="O471" s="27">
        <f t="shared" si="7"/>
        <v>1050041.1300000001</v>
      </c>
    </row>
    <row r="472" spans="1:15" ht="12.2" customHeight="1" x14ac:dyDescent="0.25">
      <c r="A472" s="28"/>
      <c r="B472" s="34"/>
      <c r="C472" s="34"/>
      <c r="D472" s="34"/>
      <c r="E472" s="34"/>
      <c r="F472" s="34"/>
      <c r="G472" s="34"/>
      <c r="H472" s="34"/>
      <c r="I472" s="34"/>
      <c r="J472" s="41" t="s">
        <v>56</v>
      </c>
      <c r="K472" s="22" t="s">
        <v>57</v>
      </c>
      <c r="L472" s="25">
        <v>84</v>
      </c>
      <c r="M472" s="24">
        <v>1190362</v>
      </c>
      <c r="N472" s="25">
        <v>17096</v>
      </c>
      <c r="O472" s="27">
        <f t="shared" si="7"/>
        <v>1321301.82</v>
      </c>
    </row>
    <row r="473" spans="1:15" ht="12.2" customHeight="1" x14ac:dyDescent="0.25">
      <c r="A473" s="28"/>
      <c r="B473" s="31" t="s">
        <v>487</v>
      </c>
      <c r="C473" s="30" t="s">
        <v>21</v>
      </c>
      <c r="D473" s="31" t="s">
        <v>488</v>
      </c>
      <c r="E473" s="31" t="s">
        <v>489</v>
      </c>
      <c r="F473" s="31" t="s">
        <v>490</v>
      </c>
      <c r="G473" s="31" t="s">
        <v>491</v>
      </c>
      <c r="H473" s="31" t="s">
        <v>269</v>
      </c>
      <c r="I473" s="31" t="s">
        <v>26</v>
      </c>
      <c r="J473" s="22" t="s">
        <v>70</v>
      </c>
      <c r="K473" s="23" t="s">
        <v>71</v>
      </c>
      <c r="L473" s="24">
        <v>126</v>
      </c>
      <c r="M473" s="25">
        <v>2045422</v>
      </c>
      <c r="N473" s="26">
        <v>39401</v>
      </c>
      <c r="O473" s="27">
        <f t="shared" si="7"/>
        <v>2270418.4200000004</v>
      </c>
    </row>
    <row r="474" spans="1:15" ht="12.2" customHeight="1" x14ac:dyDescent="0.25">
      <c r="A474" s="28"/>
      <c r="B474" s="33"/>
      <c r="C474" s="33"/>
      <c r="D474" s="33"/>
      <c r="E474" s="33"/>
      <c r="F474" s="33"/>
      <c r="G474" s="33"/>
      <c r="H474" s="33"/>
      <c r="I474" s="33"/>
      <c r="J474" s="41" t="s">
        <v>72</v>
      </c>
      <c r="K474" s="22" t="s">
        <v>73</v>
      </c>
      <c r="L474" s="25">
        <v>126</v>
      </c>
      <c r="M474" s="24">
        <v>2045422</v>
      </c>
      <c r="N474" s="25">
        <v>39401</v>
      </c>
      <c r="O474" s="27">
        <f t="shared" si="7"/>
        <v>2270418.4200000004</v>
      </c>
    </row>
    <row r="475" spans="1:15" ht="12.2" customHeight="1" x14ac:dyDescent="0.25">
      <c r="A475" s="28"/>
      <c r="B475" s="33"/>
      <c r="C475" s="33"/>
      <c r="D475" s="33"/>
      <c r="E475" s="33"/>
      <c r="F475" s="33"/>
      <c r="G475" s="33"/>
      <c r="H475" s="33"/>
      <c r="I475" s="33"/>
      <c r="J475" s="22" t="s">
        <v>74</v>
      </c>
      <c r="K475" s="23" t="s">
        <v>75</v>
      </c>
      <c r="L475" s="24">
        <v>126</v>
      </c>
      <c r="M475" s="25">
        <v>2045422</v>
      </c>
      <c r="N475" s="26">
        <v>39401</v>
      </c>
      <c r="O475" s="27">
        <f t="shared" si="7"/>
        <v>2270418.4200000004</v>
      </c>
    </row>
    <row r="476" spans="1:15" ht="12.2" customHeight="1" x14ac:dyDescent="0.25">
      <c r="A476" s="28"/>
      <c r="B476" s="33"/>
      <c r="C476" s="33"/>
      <c r="D476" s="33"/>
      <c r="E476" s="33"/>
      <c r="F476" s="33"/>
      <c r="G476" s="33"/>
      <c r="H476" s="33"/>
      <c r="I476" s="33"/>
      <c r="J476" s="41" t="s">
        <v>78</v>
      </c>
      <c r="K476" s="22" t="s">
        <v>79</v>
      </c>
      <c r="L476" s="25">
        <v>126</v>
      </c>
      <c r="M476" s="24">
        <v>2045422</v>
      </c>
      <c r="N476" s="25">
        <v>39401</v>
      </c>
      <c r="O476" s="27">
        <f t="shared" si="7"/>
        <v>2270418.4200000004</v>
      </c>
    </row>
    <row r="477" spans="1:15" ht="12.2" customHeight="1" x14ac:dyDescent="0.25">
      <c r="A477" s="28"/>
      <c r="B477" s="33"/>
      <c r="C477" s="33"/>
      <c r="D477" s="33"/>
      <c r="E477" s="33"/>
      <c r="F477" s="33"/>
      <c r="G477" s="33"/>
      <c r="H477" s="33"/>
      <c r="I477" s="33"/>
      <c r="J477" s="22" t="s">
        <v>35</v>
      </c>
      <c r="K477" s="23" t="s">
        <v>36</v>
      </c>
      <c r="L477" s="24">
        <v>504</v>
      </c>
      <c r="M477" s="25">
        <v>6582966</v>
      </c>
      <c r="N477" s="26">
        <v>31702</v>
      </c>
      <c r="O477" s="27">
        <f t="shared" si="7"/>
        <v>7307092.2600000007</v>
      </c>
    </row>
    <row r="478" spans="1:15" ht="12.2" customHeight="1" x14ac:dyDescent="0.25">
      <c r="A478" s="28"/>
      <c r="B478" s="33"/>
      <c r="C478" s="33"/>
      <c r="D478" s="34"/>
      <c r="E478" s="34"/>
      <c r="F478" s="34"/>
      <c r="G478" s="34"/>
      <c r="H478" s="34"/>
      <c r="I478" s="34"/>
      <c r="J478" s="41" t="s">
        <v>37</v>
      </c>
      <c r="K478" s="22" t="s">
        <v>38</v>
      </c>
      <c r="L478" s="25">
        <v>504</v>
      </c>
      <c r="M478" s="24">
        <v>9874449</v>
      </c>
      <c r="N478" s="25">
        <v>47552</v>
      </c>
      <c r="O478" s="27">
        <f t="shared" si="7"/>
        <v>10960638.390000001</v>
      </c>
    </row>
    <row r="479" spans="1:15" ht="12.2" customHeight="1" x14ac:dyDescent="0.25">
      <c r="A479" s="28"/>
      <c r="B479" s="33"/>
      <c r="C479" s="33"/>
      <c r="D479" s="22" t="s">
        <v>492</v>
      </c>
      <c r="E479" s="23" t="s">
        <v>493</v>
      </c>
      <c r="F479" s="22" t="s">
        <v>494</v>
      </c>
      <c r="G479" s="23" t="s">
        <v>495</v>
      </c>
      <c r="H479" s="22" t="s">
        <v>269</v>
      </c>
      <c r="I479" s="23" t="s">
        <v>112</v>
      </c>
      <c r="J479" s="22" t="s">
        <v>37</v>
      </c>
      <c r="K479" s="23" t="s">
        <v>38</v>
      </c>
      <c r="L479" s="24">
        <v>504</v>
      </c>
      <c r="M479" s="25">
        <v>10075968</v>
      </c>
      <c r="N479" s="26">
        <v>47552</v>
      </c>
      <c r="O479" s="27">
        <f t="shared" si="7"/>
        <v>11184324.48</v>
      </c>
    </row>
    <row r="480" spans="1:15" ht="12.2" customHeight="1" x14ac:dyDescent="0.25">
      <c r="A480" s="28"/>
      <c r="B480" s="33"/>
      <c r="C480" s="33"/>
      <c r="D480" s="31" t="s">
        <v>496</v>
      </c>
      <c r="E480" s="31" t="s">
        <v>497</v>
      </c>
      <c r="F480" s="31" t="s">
        <v>498</v>
      </c>
      <c r="G480" s="31" t="s">
        <v>499</v>
      </c>
      <c r="H480" s="31" t="s">
        <v>269</v>
      </c>
      <c r="I480" s="31" t="s">
        <v>26</v>
      </c>
      <c r="J480" s="23" t="s">
        <v>35</v>
      </c>
      <c r="K480" s="22" t="s">
        <v>36</v>
      </c>
      <c r="L480" s="25">
        <v>252</v>
      </c>
      <c r="M480" s="24">
        <v>3358656</v>
      </c>
      <c r="N480" s="25">
        <v>31702</v>
      </c>
      <c r="O480" s="27">
        <f t="shared" si="7"/>
        <v>3728108.16</v>
      </c>
    </row>
    <row r="481" spans="1:15" ht="12.2" customHeight="1" x14ac:dyDescent="0.25">
      <c r="A481" s="28"/>
      <c r="B481" s="33"/>
      <c r="C481" s="33"/>
      <c r="D481" s="34"/>
      <c r="E481" s="34"/>
      <c r="F481" s="34"/>
      <c r="G481" s="34"/>
      <c r="H481" s="34"/>
      <c r="I481" s="34"/>
      <c r="J481" s="22" t="s">
        <v>37</v>
      </c>
      <c r="K481" s="23" t="s">
        <v>38</v>
      </c>
      <c r="L481" s="24">
        <v>252</v>
      </c>
      <c r="M481" s="25">
        <v>5037984</v>
      </c>
      <c r="N481" s="26">
        <v>47552</v>
      </c>
      <c r="O481" s="27">
        <f t="shared" si="7"/>
        <v>5592162.2400000002</v>
      </c>
    </row>
    <row r="482" spans="1:15" ht="12.2" customHeight="1" x14ac:dyDescent="0.25">
      <c r="A482" s="28"/>
      <c r="B482" s="33"/>
      <c r="C482" s="33"/>
      <c r="D482" s="31" t="s">
        <v>500</v>
      </c>
      <c r="E482" s="31" t="s">
        <v>501</v>
      </c>
      <c r="F482" s="31" t="s">
        <v>502</v>
      </c>
      <c r="G482" s="31" t="s">
        <v>503</v>
      </c>
      <c r="H482" s="31" t="s">
        <v>269</v>
      </c>
      <c r="I482" s="31" t="s">
        <v>26</v>
      </c>
      <c r="J482" s="23" t="s">
        <v>332</v>
      </c>
      <c r="K482" s="22" t="s">
        <v>333</v>
      </c>
      <c r="L482" s="25">
        <v>14</v>
      </c>
      <c r="M482" s="24">
        <v>374250</v>
      </c>
      <c r="N482" s="25">
        <v>65215</v>
      </c>
      <c r="O482" s="27">
        <f t="shared" si="7"/>
        <v>415417.50000000006</v>
      </c>
    </row>
    <row r="483" spans="1:15" ht="12.2" customHeight="1" x14ac:dyDescent="0.25">
      <c r="A483" s="28"/>
      <c r="B483" s="33"/>
      <c r="C483" s="33"/>
      <c r="D483" s="33"/>
      <c r="E483" s="33"/>
      <c r="F483" s="33"/>
      <c r="G483" s="33"/>
      <c r="H483" s="33"/>
      <c r="I483" s="33"/>
      <c r="J483" s="22" t="s">
        <v>64</v>
      </c>
      <c r="K483" s="43" t="s">
        <v>65</v>
      </c>
      <c r="L483" s="24">
        <v>11</v>
      </c>
      <c r="M483" s="44">
        <v>316673</v>
      </c>
      <c r="N483" s="26">
        <v>32607</v>
      </c>
      <c r="O483" s="27">
        <f t="shared" si="7"/>
        <v>351507.03</v>
      </c>
    </row>
    <row r="484" spans="1:15" ht="12.2" customHeight="1" x14ac:dyDescent="0.25">
      <c r="A484" s="28"/>
      <c r="B484" s="33"/>
      <c r="C484" s="33"/>
      <c r="D484" s="33"/>
      <c r="E484" s="33"/>
      <c r="F484" s="33"/>
      <c r="G484" s="33"/>
      <c r="H484" s="33"/>
      <c r="I484" s="33"/>
      <c r="J484" s="43" t="s">
        <v>142</v>
      </c>
      <c r="K484" s="22" t="s">
        <v>143</v>
      </c>
      <c r="L484" s="44">
        <v>12</v>
      </c>
      <c r="M484" s="24">
        <v>345462</v>
      </c>
      <c r="N484" s="44">
        <v>32607</v>
      </c>
      <c r="O484" s="27">
        <f t="shared" si="7"/>
        <v>383462.82</v>
      </c>
    </row>
    <row r="485" spans="1:15" ht="12.2" customHeight="1" x14ac:dyDescent="0.25">
      <c r="A485" s="28"/>
      <c r="B485" s="33"/>
      <c r="C485" s="33"/>
      <c r="D485" s="33"/>
      <c r="E485" s="33"/>
      <c r="F485" s="33"/>
      <c r="G485" s="33"/>
      <c r="H485" s="33"/>
      <c r="I485" s="33"/>
      <c r="J485" s="22" t="s">
        <v>66</v>
      </c>
      <c r="K485" s="43" t="s">
        <v>67</v>
      </c>
      <c r="L485" s="24">
        <v>12</v>
      </c>
      <c r="M485" s="44">
        <v>345462</v>
      </c>
      <c r="N485" s="26">
        <v>32607</v>
      </c>
      <c r="O485" s="27">
        <f t="shared" si="7"/>
        <v>383462.82</v>
      </c>
    </row>
    <row r="486" spans="1:15" ht="12.2" customHeight="1" x14ac:dyDescent="0.25">
      <c r="A486" s="28"/>
      <c r="B486" s="33"/>
      <c r="C486" s="33"/>
      <c r="D486" s="33"/>
      <c r="E486" s="33"/>
      <c r="F486" s="33"/>
      <c r="G486" s="33"/>
      <c r="H486" s="33"/>
      <c r="I486" s="33"/>
      <c r="J486" s="43" t="s">
        <v>68</v>
      </c>
      <c r="K486" s="22" t="s">
        <v>69</v>
      </c>
      <c r="L486" s="44">
        <v>13</v>
      </c>
      <c r="M486" s="24">
        <v>345462</v>
      </c>
      <c r="N486" s="44">
        <v>65215</v>
      </c>
      <c r="O486" s="27">
        <f t="shared" si="7"/>
        <v>383462.82</v>
      </c>
    </row>
    <row r="487" spans="1:15" ht="12.2" customHeight="1" x14ac:dyDescent="0.25">
      <c r="A487" s="28"/>
      <c r="B487" s="33"/>
      <c r="C487" s="33"/>
      <c r="D487" s="33"/>
      <c r="E487" s="33"/>
      <c r="F487" s="33"/>
      <c r="G487" s="33"/>
      <c r="H487" s="33"/>
      <c r="I487" s="33"/>
      <c r="J487" s="22" t="s">
        <v>70</v>
      </c>
      <c r="K487" s="43" t="s">
        <v>71</v>
      </c>
      <c r="L487" s="24">
        <v>25</v>
      </c>
      <c r="M487" s="44">
        <v>417433</v>
      </c>
      <c r="N487" s="26">
        <v>39401</v>
      </c>
      <c r="O487" s="27">
        <f t="shared" si="7"/>
        <v>463350.63000000006</v>
      </c>
    </row>
    <row r="488" spans="1:15" ht="12.2" customHeight="1" x14ac:dyDescent="0.25">
      <c r="A488" s="28"/>
      <c r="B488" s="33"/>
      <c r="C488" s="33"/>
      <c r="D488" s="33"/>
      <c r="E488" s="33"/>
      <c r="F488" s="33"/>
      <c r="G488" s="33"/>
      <c r="H488" s="33"/>
      <c r="I488" s="33"/>
      <c r="J488" s="43" t="s">
        <v>72</v>
      </c>
      <c r="K488" s="22" t="s">
        <v>73</v>
      </c>
      <c r="L488" s="44">
        <v>25</v>
      </c>
      <c r="M488" s="24">
        <v>417433</v>
      </c>
      <c r="N488" s="44">
        <v>39401</v>
      </c>
      <c r="O488" s="27">
        <f t="shared" si="7"/>
        <v>463350.63000000006</v>
      </c>
    </row>
    <row r="489" spans="1:15" ht="12.2" customHeight="1" x14ac:dyDescent="0.25">
      <c r="A489" s="28"/>
      <c r="B489" s="33"/>
      <c r="C489" s="33"/>
      <c r="D489" s="33"/>
      <c r="E489" s="33"/>
      <c r="F489" s="33"/>
      <c r="G489" s="33"/>
      <c r="H489" s="33"/>
      <c r="I489" s="33"/>
      <c r="J489" s="22" t="s">
        <v>74</v>
      </c>
      <c r="K489" s="43" t="s">
        <v>75</v>
      </c>
      <c r="L489" s="24">
        <v>25</v>
      </c>
      <c r="M489" s="44">
        <v>417433</v>
      </c>
      <c r="N489" s="26">
        <v>39401</v>
      </c>
      <c r="O489" s="27">
        <f t="shared" si="7"/>
        <v>463350.63000000006</v>
      </c>
    </row>
    <row r="490" spans="1:15" ht="12.2" customHeight="1" x14ac:dyDescent="0.25">
      <c r="A490" s="28"/>
      <c r="B490" s="33"/>
      <c r="C490" s="33"/>
      <c r="D490" s="33"/>
      <c r="E490" s="33"/>
      <c r="F490" s="33"/>
      <c r="G490" s="33"/>
      <c r="H490" s="33"/>
      <c r="I490" s="33"/>
      <c r="J490" s="43" t="s">
        <v>76</v>
      </c>
      <c r="K490" s="22" t="s">
        <v>77</v>
      </c>
      <c r="L490" s="44">
        <v>25</v>
      </c>
      <c r="M490" s="24">
        <v>417433</v>
      </c>
      <c r="N490" s="44">
        <v>39401</v>
      </c>
      <c r="O490" s="27">
        <f t="shared" si="7"/>
        <v>463350.63000000006</v>
      </c>
    </row>
    <row r="491" spans="1:15" ht="12.2" customHeight="1" x14ac:dyDescent="0.25">
      <c r="A491" s="28"/>
      <c r="B491" s="33"/>
      <c r="C491" s="33"/>
      <c r="D491" s="33"/>
      <c r="E491" s="33"/>
      <c r="F491" s="33"/>
      <c r="G491" s="33"/>
      <c r="H491" s="33"/>
      <c r="I491" s="33"/>
      <c r="J491" s="22" t="s">
        <v>78</v>
      </c>
      <c r="K491" s="43" t="s">
        <v>79</v>
      </c>
      <c r="L491" s="24">
        <v>25</v>
      </c>
      <c r="M491" s="44">
        <v>417433</v>
      </c>
      <c r="N491" s="26">
        <v>39401</v>
      </c>
      <c r="O491" s="27">
        <f t="shared" si="7"/>
        <v>463350.63000000006</v>
      </c>
    </row>
    <row r="492" spans="1:15" ht="12.2" customHeight="1" x14ac:dyDescent="0.25">
      <c r="A492" s="28"/>
      <c r="B492" s="33"/>
      <c r="C492" s="33"/>
      <c r="D492" s="34"/>
      <c r="E492" s="34"/>
      <c r="F492" s="34"/>
      <c r="G492" s="34"/>
      <c r="H492" s="34"/>
      <c r="I492" s="34"/>
      <c r="J492" s="43" t="s">
        <v>37</v>
      </c>
      <c r="K492" s="22" t="s">
        <v>38</v>
      </c>
      <c r="L492" s="44">
        <v>252</v>
      </c>
      <c r="M492" s="24">
        <v>5037984</v>
      </c>
      <c r="N492" s="44">
        <v>47552</v>
      </c>
      <c r="O492" s="27">
        <f t="shared" si="7"/>
        <v>5592162.2400000002</v>
      </c>
    </row>
    <row r="493" spans="1:15" ht="12.2" customHeight="1" x14ac:dyDescent="0.25">
      <c r="A493" s="28"/>
      <c r="B493" s="33"/>
      <c r="C493" s="33"/>
      <c r="D493" s="31" t="s">
        <v>504</v>
      </c>
      <c r="E493" s="31" t="s">
        <v>505</v>
      </c>
      <c r="F493" s="31" t="s">
        <v>506</v>
      </c>
      <c r="G493" s="31" t="s">
        <v>507</v>
      </c>
      <c r="H493" s="31" t="s">
        <v>269</v>
      </c>
      <c r="I493" s="31" t="s">
        <v>97</v>
      </c>
      <c r="J493" s="22" t="s">
        <v>72</v>
      </c>
      <c r="K493" s="43" t="s">
        <v>73</v>
      </c>
      <c r="L493" s="24">
        <v>24</v>
      </c>
      <c r="M493" s="44">
        <v>417433</v>
      </c>
      <c r="N493" s="26">
        <v>19700</v>
      </c>
      <c r="O493" s="27">
        <f t="shared" si="7"/>
        <v>463350.63000000006</v>
      </c>
    </row>
    <row r="494" spans="1:15" ht="12.2" customHeight="1" x14ac:dyDescent="0.25">
      <c r="A494" s="28"/>
      <c r="B494" s="33"/>
      <c r="C494" s="33"/>
      <c r="D494" s="33"/>
      <c r="E494" s="33"/>
      <c r="F494" s="33"/>
      <c r="G494" s="33"/>
      <c r="H494" s="33"/>
      <c r="I494" s="33"/>
      <c r="J494" s="47" t="s">
        <v>74</v>
      </c>
      <c r="K494" s="22" t="s">
        <v>75</v>
      </c>
      <c r="L494" s="44">
        <v>24</v>
      </c>
      <c r="M494" s="24">
        <v>417433</v>
      </c>
      <c r="N494" s="44">
        <v>19700</v>
      </c>
      <c r="O494" s="27">
        <f t="shared" si="7"/>
        <v>463350.63000000006</v>
      </c>
    </row>
    <row r="495" spans="1:15" ht="12.2" customHeight="1" x14ac:dyDescent="0.25">
      <c r="A495" s="28"/>
      <c r="B495" s="33"/>
      <c r="C495" s="33"/>
      <c r="D495" s="33"/>
      <c r="E495" s="33"/>
      <c r="F495" s="33"/>
      <c r="G495" s="33"/>
      <c r="H495" s="33"/>
      <c r="I495" s="33"/>
      <c r="J495" s="22" t="s">
        <v>76</v>
      </c>
      <c r="K495" s="43" t="s">
        <v>77</v>
      </c>
      <c r="L495" s="24">
        <v>24</v>
      </c>
      <c r="M495" s="44">
        <v>417433</v>
      </c>
      <c r="N495" s="26">
        <v>19700</v>
      </c>
      <c r="O495" s="27">
        <f t="shared" si="7"/>
        <v>463350.63000000006</v>
      </c>
    </row>
    <row r="496" spans="1:15" ht="12.2" customHeight="1" x14ac:dyDescent="0.25">
      <c r="A496" s="28"/>
      <c r="B496" s="33"/>
      <c r="C496" s="33"/>
      <c r="D496" s="33"/>
      <c r="E496" s="33"/>
      <c r="F496" s="33"/>
      <c r="G496" s="33"/>
      <c r="H496" s="33"/>
      <c r="I496" s="33"/>
      <c r="J496" s="47" t="s">
        <v>78</v>
      </c>
      <c r="K496" s="22" t="s">
        <v>79</v>
      </c>
      <c r="L496" s="44">
        <v>24</v>
      </c>
      <c r="M496" s="24">
        <v>417433</v>
      </c>
      <c r="N496" s="44">
        <v>19700</v>
      </c>
      <c r="O496" s="27">
        <f t="shared" si="7"/>
        <v>463350.63000000006</v>
      </c>
    </row>
    <row r="497" spans="1:15" ht="12.2" customHeight="1" x14ac:dyDescent="0.25">
      <c r="A497" s="28"/>
      <c r="B497" s="33"/>
      <c r="C497" s="33"/>
      <c r="D497" s="33"/>
      <c r="E497" s="33"/>
      <c r="F497" s="33"/>
      <c r="G497" s="33"/>
      <c r="H497" s="33"/>
      <c r="I497" s="33"/>
      <c r="J497" s="22" t="s">
        <v>35</v>
      </c>
      <c r="K497" s="43" t="s">
        <v>36</v>
      </c>
      <c r="L497" s="24">
        <v>60</v>
      </c>
      <c r="M497" s="44">
        <v>839664</v>
      </c>
      <c r="N497" s="26">
        <v>15851</v>
      </c>
      <c r="O497" s="27">
        <f t="shared" si="7"/>
        <v>932027.04</v>
      </c>
    </row>
    <row r="498" spans="1:15" ht="12.2" customHeight="1" x14ac:dyDescent="0.25">
      <c r="A498" s="28"/>
      <c r="B498" s="33"/>
      <c r="C498" s="33"/>
      <c r="D498" s="33"/>
      <c r="E498" s="33"/>
      <c r="F498" s="33"/>
      <c r="G498" s="33"/>
      <c r="H498" s="33"/>
      <c r="I498" s="33"/>
      <c r="J498" s="47" t="s">
        <v>37</v>
      </c>
      <c r="K498" s="22" t="s">
        <v>38</v>
      </c>
      <c r="L498" s="44">
        <v>60</v>
      </c>
      <c r="M498" s="24">
        <v>1259496</v>
      </c>
      <c r="N498" s="44">
        <v>23776</v>
      </c>
      <c r="O498" s="27">
        <f t="shared" si="7"/>
        <v>1398040.56</v>
      </c>
    </row>
    <row r="499" spans="1:15" ht="12.2" customHeight="1" x14ac:dyDescent="0.25">
      <c r="A499" s="28"/>
      <c r="B499" s="33"/>
      <c r="C499" s="33"/>
      <c r="D499" s="34"/>
      <c r="E499" s="34"/>
      <c r="F499" s="34"/>
      <c r="G499" s="34"/>
      <c r="H499" s="34"/>
      <c r="I499" s="34"/>
      <c r="J499" s="22" t="s">
        <v>27</v>
      </c>
      <c r="K499" s="43" t="s">
        <v>28</v>
      </c>
      <c r="L499" s="24">
        <v>30</v>
      </c>
      <c r="M499" s="44">
        <v>1211515</v>
      </c>
      <c r="N499" s="26">
        <v>45741</v>
      </c>
      <c r="O499" s="27">
        <f t="shared" si="7"/>
        <v>1344781.6500000001</v>
      </c>
    </row>
    <row r="500" spans="1:15" ht="12.2" customHeight="1" x14ac:dyDescent="0.25">
      <c r="A500" s="28"/>
      <c r="B500" s="33"/>
      <c r="C500" s="33"/>
      <c r="D500" s="31" t="s">
        <v>508</v>
      </c>
      <c r="E500" s="31" t="s">
        <v>509</v>
      </c>
      <c r="F500" s="31" t="s">
        <v>510</v>
      </c>
      <c r="G500" s="31" t="s">
        <v>511</v>
      </c>
      <c r="H500" s="31" t="s">
        <v>269</v>
      </c>
      <c r="I500" s="31" t="s">
        <v>26</v>
      </c>
      <c r="J500" s="43" t="s">
        <v>35</v>
      </c>
      <c r="K500" s="22" t="s">
        <v>36</v>
      </c>
      <c r="L500" s="44">
        <v>240</v>
      </c>
      <c r="M500" s="24">
        <v>3358656</v>
      </c>
      <c r="N500" s="44">
        <v>15851</v>
      </c>
      <c r="O500" s="27">
        <f t="shared" si="7"/>
        <v>3728108.16</v>
      </c>
    </row>
    <row r="501" spans="1:15" ht="12.2" customHeight="1" x14ac:dyDescent="0.25">
      <c r="A501" s="28"/>
      <c r="B501" s="33"/>
      <c r="C501" s="33"/>
      <c r="D501" s="33"/>
      <c r="E501" s="33"/>
      <c r="F501" s="33"/>
      <c r="G501" s="33"/>
      <c r="H501" s="33"/>
      <c r="I501" s="33"/>
      <c r="J501" s="22" t="s">
        <v>37</v>
      </c>
      <c r="K501" s="43" t="s">
        <v>38</v>
      </c>
      <c r="L501" s="24">
        <v>204</v>
      </c>
      <c r="M501" s="44">
        <v>4282287</v>
      </c>
      <c r="N501" s="26">
        <v>23776</v>
      </c>
      <c r="O501" s="27">
        <f t="shared" si="7"/>
        <v>4753338.57</v>
      </c>
    </row>
    <row r="502" spans="1:15" ht="12.2" customHeight="1" x14ac:dyDescent="0.25">
      <c r="A502" s="28"/>
      <c r="B502" s="33"/>
      <c r="C502" s="33"/>
      <c r="D502" s="33"/>
      <c r="E502" s="33"/>
      <c r="F502" s="33"/>
      <c r="G502" s="33"/>
      <c r="H502" s="33"/>
      <c r="I502" s="33"/>
      <c r="J502" s="43" t="s">
        <v>27</v>
      </c>
      <c r="K502" s="22" t="s">
        <v>28</v>
      </c>
      <c r="L502" s="44">
        <v>60</v>
      </c>
      <c r="M502" s="24">
        <v>2423030</v>
      </c>
      <c r="N502" s="44">
        <v>45741</v>
      </c>
      <c r="O502" s="27">
        <f t="shared" si="7"/>
        <v>2689563.3000000003</v>
      </c>
    </row>
    <row r="503" spans="1:15" ht="12.2" customHeight="1" x14ac:dyDescent="0.25">
      <c r="A503" s="28"/>
      <c r="B503" s="33"/>
      <c r="C503" s="33"/>
      <c r="D503" s="70"/>
      <c r="E503" s="34"/>
      <c r="F503" s="70"/>
      <c r="G503" s="34"/>
      <c r="H503" s="70"/>
      <c r="I503" s="34"/>
      <c r="J503" s="22" t="s">
        <v>56</v>
      </c>
      <c r="K503" s="43" t="s">
        <v>57</v>
      </c>
      <c r="L503" s="24">
        <v>240</v>
      </c>
      <c r="M503" s="44">
        <v>3622551</v>
      </c>
      <c r="N503" s="26">
        <v>17096</v>
      </c>
      <c r="O503" s="27">
        <f t="shared" si="7"/>
        <v>4021031.6100000003</v>
      </c>
    </row>
    <row r="504" spans="1:15" ht="12.2" customHeight="1" x14ac:dyDescent="0.25">
      <c r="A504" s="28"/>
      <c r="B504" s="33"/>
      <c r="C504" s="33"/>
      <c r="D504" s="71" t="s">
        <v>512</v>
      </c>
      <c r="E504" s="31" t="s">
        <v>513</v>
      </c>
      <c r="F504" s="71" t="s">
        <v>514</v>
      </c>
      <c r="G504" s="31" t="s">
        <v>515</v>
      </c>
      <c r="H504" s="71" t="s">
        <v>269</v>
      </c>
      <c r="I504" s="31" t="s">
        <v>355</v>
      </c>
      <c r="J504" s="43" t="s">
        <v>35</v>
      </c>
      <c r="K504" s="22" t="s">
        <v>36</v>
      </c>
      <c r="L504" s="44">
        <v>24</v>
      </c>
      <c r="M504" s="24">
        <v>335866</v>
      </c>
      <c r="N504" s="44">
        <v>15851</v>
      </c>
      <c r="O504" s="27">
        <f t="shared" si="7"/>
        <v>372811.26</v>
      </c>
    </row>
    <row r="505" spans="1:15" ht="12.2" customHeight="1" x14ac:dyDescent="0.25">
      <c r="A505" s="28"/>
      <c r="B505" s="33"/>
      <c r="C505" s="33"/>
      <c r="D505" s="33"/>
      <c r="E505" s="33"/>
      <c r="F505" s="33"/>
      <c r="G505" s="33"/>
      <c r="H505" s="33"/>
      <c r="I505" s="33"/>
      <c r="J505" s="22" t="s">
        <v>37</v>
      </c>
      <c r="K505" s="43" t="s">
        <v>38</v>
      </c>
      <c r="L505" s="24">
        <v>120</v>
      </c>
      <c r="M505" s="44">
        <v>2518992</v>
      </c>
      <c r="N505" s="26">
        <v>23776</v>
      </c>
      <c r="O505" s="27">
        <f t="shared" si="7"/>
        <v>2796081.12</v>
      </c>
    </row>
    <row r="506" spans="1:15" ht="12.2" customHeight="1" x14ac:dyDescent="0.25">
      <c r="A506" s="28"/>
      <c r="B506" s="33"/>
      <c r="C506" s="33"/>
      <c r="D506" s="33"/>
      <c r="E506" s="33"/>
      <c r="F506" s="33"/>
      <c r="G506" s="33"/>
      <c r="H506" s="33"/>
      <c r="I506" s="33"/>
      <c r="J506" s="43" t="s">
        <v>27</v>
      </c>
      <c r="K506" s="22" t="s">
        <v>28</v>
      </c>
      <c r="L506" s="44">
        <v>36</v>
      </c>
      <c r="M506" s="24">
        <v>1453818</v>
      </c>
      <c r="N506" s="44">
        <v>45741</v>
      </c>
      <c r="O506" s="27">
        <f t="shared" si="7"/>
        <v>1613737.9800000002</v>
      </c>
    </row>
    <row r="507" spans="1:15" ht="12.2" customHeight="1" x14ac:dyDescent="0.25">
      <c r="A507" s="28"/>
      <c r="B507" s="33"/>
      <c r="C507" s="33"/>
      <c r="D507" s="34"/>
      <c r="E507" s="34"/>
      <c r="F507" s="34"/>
      <c r="G507" s="34"/>
      <c r="H507" s="34"/>
      <c r="I507" s="34"/>
      <c r="J507" s="42" t="s">
        <v>56</v>
      </c>
      <c r="K507" s="23" t="s">
        <v>57</v>
      </c>
      <c r="L507" s="24">
        <v>24</v>
      </c>
      <c r="M507" s="25">
        <v>362255</v>
      </c>
      <c r="N507" s="26">
        <v>17096</v>
      </c>
      <c r="O507" s="27">
        <f t="shared" si="7"/>
        <v>402103.05000000005</v>
      </c>
    </row>
    <row r="508" spans="1:15" ht="12.2" customHeight="1" x14ac:dyDescent="0.25">
      <c r="A508" s="28"/>
      <c r="B508" s="33"/>
      <c r="C508" s="34"/>
      <c r="D508" s="82" t="s">
        <v>516</v>
      </c>
      <c r="E508" s="52" t="s">
        <v>517</v>
      </c>
      <c r="F508" s="38" t="s">
        <v>518</v>
      </c>
      <c r="G508" s="52" t="s">
        <v>519</v>
      </c>
      <c r="H508" s="38" t="s">
        <v>269</v>
      </c>
      <c r="I508" s="52" t="s">
        <v>26</v>
      </c>
      <c r="J508" s="38" t="s">
        <v>37</v>
      </c>
      <c r="K508" s="22" t="s">
        <v>38</v>
      </c>
      <c r="L508" s="39">
        <v>1008</v>
      </c>
      <c r="M508" s="24">
        <v>19748898</v>
      </c>
      <c r="N508" s="39">
        <v>47552</v>
      </c>
      <c r="O508" s="27">
        <f t="shared" si="7"/>
        <v>21921276.780000001</v>
      </c>
    </row>
    <row r="509" spans="1:15" ht="12.2" customHeight="1" x14ac:dyDescent="0.25">
      <c r="A509" s="28"/>
      <c r="B509" s="33"/>
      <c r="C509" s="30" t="s">
        <v>54</v>
      </c>
      <c r="D509" s="31" t="s">
        <v>520</v>
      </c>
      <c r="E509" s="31" t="s">
        <v>521</v>
      </c>
      <c r="F509" s="31" t="s">
        <v>522</v>
      </c>
      <c r="G509" s="31" t="s">
        <v>523</v>
      </c>
      <c r="H509" s="31" t="s">
        <v>269</v>
      </c>
      <c r="I509" s="31" t="s">
        <v>26</v>
      </c>
      <c r="J509" s="23" t="s">
        <v>35</v>
      </c>
      <c r="K509" s="22" t="s">
        <v>36</v>
      </c>
      <c r="L509" s="25">
        <v>1512</v>
      </c>
      <c r="M509" s="24">
        <v>19748898</v>
      </c>
      <c r="N509" s="25">
        <v>31702</v>
      </c>
      <c r="O509" s="27">
        <f t="shared" si="7"/>
        <v>21921276.780000001</v>
      </c>
    </row>
    <row r="510" spans="1:15" ht="12.2" customHeight="1" x14ac:dyDescent="0.25">
      <c r="A510" s="28"/>
      <c r="B510" s="33"/>
      <c r="C510" s="33"/>
      <c r="D510" s="33"/>
      <c r="E510" s="33"/>
      <c r="F510" s="33"/>
      <c r="G510" s="33"/>
      <c r="H510" s="33"/>
      <c r="I510" s="33"/>
      <c r="J510" s="22" t="s">
        <v>27</v>
      </c>
      <c r="K510" s="23" t="s">
        <v>28</v>
      </c>
      <c r="L510" s="24">
        <v>126</v>
      </c>
      <c r="M510" s="25">
        <v>4749140</v>
      </c>
      <c r="N510" s="26">
        <v>91482</v>
      </c>
      <c r="O510" s="27">
        <f t="shared" si="7"/>
        <v>5271545.4000000004</v>
      </c>
    </row>
    <row r="511" spans="1:15" ht="12.2" customHeight="1" x14ac:dyDescent="0.25">
      <c r="A511" s="28"/>
      <c r="B511" s="33"/>
      <c r="C511" s="34"/>
      <c r="D511" s="34"/>
      <c r="E511" s="34"/>
      <c r="F511" s="34"/>
      <c r="G511" s="34"/>
      <c r="H511" s="34"/>
      <c r="I511" s="34"/>
      <c r="J511" s="38" t="s">
        <v>90</v>
      </c>
      <c r="K511" s="22" t="s">
        <v>91</v>
      </c>
      <c r="L511" s="39">
        <v>252</v>
      </c>
      <c r="M511" s="24">
        <v>916913</v>
      </c>
      <c r="N511" s="39">
        <v>8831</v>
      </c>
      <c r="O511" s="27">
        <f t="shared" si="7"/>
        <v>1017773.43</v>
      </c>
    </row>
    <row r="512" spans="1:15" ht="12.2" customHeight="1" x14ac:dyDescent="0.25">
      <c r="A512" s="28"/>
      <c r="B512" s="33"/>
      <c r="C512" s="30" t="s">
        <v>524</v>
      </c>
      <c r="D512" s="31" t="s">
        <v>525</v>
      </c>
      <c r="E512" s="31" t="s">
        <v>517</v>
      </c>
      <c r="F512" s="31" t="s">
        <v>518</v>
      </c>
      <c r="G512" s="31" t="s">
        <v>519</v>
      </c>
      <c r="H512" s="31" t="s">
        <v>269</v>
      </c>
      <c r="I512" s="31" t="s">
        <v>26</v>
      </c>
      <c r="J512" s="23" t="s">
        <v>332</v>
      </c>
      <c r="K512" s="22" t="s">
        <v>333</v>
      </c>
      <c r="L512" s="25">
        <v>126</v>
      </c>
      <c r="M512" s="24">
        <v>3385525</v>
      </c>
      <c r="N512" s="25">
        <v>65215</v>
      </c>
      <c r="O512" s="27">
        <f t="shared" si="7"/>
        <v>3757932.7500000005</v>
      </c>
    </row>
    <row r="513" spans="1:15" ht="12.2" customHeight="1" x14ac:dyDescent="0.25">
      <c r="A513" s="28"/>
      <c r="B513" s="33"/>
      <c r="C513" s="33"/>
      <c r="D513" s="33"/>
      <c r="E513" s="33"/>
      <c r="F513" s="33"/>
      <c r="G513" s="33"/>
      <c r="H513" s="33"/>
      <c r="I513" s="33"/>
      <c r="J513" s="22" t="s">
        <v>64</v>
      </c>
      <c r="K513" s="23" t="s">
        <v>65</v>
      </c>
      <c r="L513" s="24">
        <v>126</v>
      </c>
      <c r="M513" s="25">
        <v>3385525</v>
      </c>
      <c r="N513" s="26">
        <v>65215</v>
      </c>
      <c r="O513" s="27">
        <f t="shared" si="7"/>
        <v>3757932.7500000005</v>
      </c>
    </row>
    <row r="514" spans="1:15" ht="12.2" customHeight="1" x14ac:dyDescent="0.25">
      <c r="A514" s="28"/>
      <c r="B514" s="33"/>
      <c r="C514" s="33"/>
      <c r="D514" s="33"/>
      <c r="E514" s="33"/>
      <c r="F514" s="33"/>
      <c r="G514" s="33"/>
      <c r="H514" s="33"/>
      <c r="I514" s="33"/>
      <c r="J514" s="23" t="s">
        <v>142</v>
      </c>
      <c r="K514" s="22" t="s">
        <v>143</v>
      </c>
      <c r="L514" s="25">
        <v>126</v>
      </c>
      <c r="M514" s="24">
        <v>3385525</v>
      </c>
      <c r="N514" s="25">
        <v>65215</v>
      </c>
      <c r="O514" s="27">
        <f t="shared" si="7"/>
        <v>3757932.7500000005</v>
      </c>
    </row>
    <row r="515" spans="1:15" ht="12.2" customHeight="1" x14ac:dyDescent="0.25">
      <c r="A515" s="28"/>
      <c r="B515" s="33"/>
      <c r="C515" s="33"/>
      <c r="D515" s="33"/>
      <c r="E515" s="33"/>
      <c r="F515" s="33"/>
      <c r="G515" s="33"/>
      <c r="H515" s="33"/>
      <c r="I515" s="33"/>
      <c r="J515" s="22" t="s">
        <v>66</v>
      </c>
      <c r="K515" s="23" t="s">
        <v>67</v>
      </c>
      <c r="L515" s="24">
        <v>126</v>
      </c>
      <c r="M515" s="25">
        <v>3385525</v>
      </c>
      <c r="N515" s="26">
        <v>65215</v>
      </c>
      <c r="O515" s="27">
        <f t="shared" si="7"/>
        <v>3757932.7500000005</v>
      </c>
    </row>
    <row r="516" spans="1:15" ht="12.2" customHeight="1" x14ac:dyDescent="0.25">
      <c r="A516" s="28"/>
      <c r="B516" s="33"/>
      <c r="C516" s="33"/>
      <c r="D516" s="33"/>
      <c r="E516" s="33"/>
      <c r="F516" s="33"/>
      <c r="G516" s="33"/>
      <c r="H516" s="33"/>
      <c r="I516" s="33"/>
      <c r="J516" s="23" t="s">
        <v>68</v>
      </c>
      <c r="K516" s="22" t="s">
        <v>69</v>
      </c>
      <c r="L516" s="25">
        <v>126</v>
      </c>
      <c r="M516" s="24">
        <v>3385525</v>
      </c>
      <c r="N516" s="44">
        <v>65215</v>
      </c>
      <c r="O516" s="27">
        <f t="shared" si="7"/>
        <v>3757932.7500000005</v>
      </c>
    </row>
    <row r="517" spans="1:15" ht="12.2" customHeight="1" x14ac:dyDescent="0.25">
      <c r="A517" s="28"/>
      <c r="B517" s="33"/>
      <c r="C517" s="33"/>
      <c r="D517" s="33"/>
      <c r="E517" s="33"/>
      <c r="F517" s="33"/>
      <c r="G517" s="33"/>
      <c r="H517" s="33"/>
      <c r="I517" s="33"/>
      <c r="J517" s="42" t="s">
        <v>80</v>
      </c>
      <c r="K517" s="43" t="s">
        <v>81</v>
      </c>
      <c r="L517" s="24">
        <v>504</v>
      </c>
      <c r="M517" s="44">
        <v>6582966</v>
      </c>
      <c r="N517" s="26">
        <v>31702</v>
      </c>
      <c r="O517" s="27">
        <f t="shared" si="7"/>
        <v>7307092.2600000007</v>
      </c>
    </row>
    <row r="518" spans="1:15" ht="12.2" customHeight="1" x14ac:dyDescent="0.25">
      <c r="A518" s="28"/>
      <c r="B518" s="33"/>
      <c r="C518" s="33"/>
      <c r="D518" s="33"/>
      <c r="E518" s="33"/>
      <c r="F518" s="33"/>
      <c r="G518" s="33"/>
      <c r="H518" s="33"/>
      <c r="I518" s="33"/>
      <c r="J518" s="43" t="s">
        <v>35</v>
      </c>
      <c r="K518" s="22" t="s">
        <v>36</v>
      </c>
      <c r="L518" s="44">
        <v>1260</v>
      </c>
      <c r="M518" s="24">
        <v>16457414</v>
      </c>
      <c r="N518" s="44">
        <v>31702</v>
      </c>
      <c r="O518" s="27">
        <f t="shared" si="7"/>
        <v>18267729.540000003</v>
      </c>
    </row>
    <row r="519" spans="1:15" ht="12.2" customHeight="1" x14ac:dyDescent="0.25">
      <c r="A519" s="28"/>
      <c r="B519" s="33"/>
      <c r="C519" s="33"/>
      <c r="D519" s="33"/>
      <c r="E519" s="33"/>
      <c r="F519" s="33"/>
      <c r="G519" s="33"/>
      <c r="H519" s="33"/>
      <c r="I519" s="33"/>
      <c r="J519" s="42" t="s">
        <v>82</v>
      </c>
      <c r="K519" s="43" t="s">
        <v>83</v>
      </c>
      <c r="L519" s="24">
        <v>252</v>
      </c>
      <c r="M519" s="44">
        <v>4937224</v>
      </c>
      <c r="N519" s="26">
        <v>47552</v>
      </c>
      <c r="O519" s="27">
        <f t="shared" ref="O519:O544" si="8">M519*1.11</f>
        <v>5480318.6400000006</v>
      </c>
    </row>
    <row r="520" spans="1:15" ht="12.2" customHeight="1" x14ac:dyDescent="0.25">
      <c r="A520" s="28"/>
      <c r="B520" s="33"/>
      <c r="C520" s="33"/>
      <c r="D520" s="33"/>
      <c r="E520" s="33"/>
      <c r="F520" s="33"/>
      <c r="G520" s="33"/>
      <c r="H520" s="33"/>
      <c r="I520" s="33"/>
      <c r="J520" s="43" t="s">
        <v>37</v>
      </c>
      <c r="K520" s="22" t="s">
        <v>38</v>
      </c>
      <c r="L520" s="44">
        <v>252</v>
      </c>
      <c r="M520" s="24">
        <v>4937224</v>
      </c>
      <c r="N520" s="44">
        <v>47552</v>
      </c>
      <c r="O520" s="27">
        <f t="shared" si="8"/>
        <v>5480318.6400000006</v>
      </c>
    </row>
    <row r="521" spans="1:15" ht="12.2" customHeight="1" x14ac:dyDescent="0.25">
      <c r="A521" s="28"/>
      <c r="B521" s="33"/>
      <c r="C521" s="33"/>
      <c r="D521" s="33"/>
      <c r="E521" s="33"/>
      <c r="F521" s="33"/>
      <c r="G521" s="33"/>
      <c r="H521" s="33"/>
      <c r="I521" s="33"/>
      <c r="J521" s="42" t="s">
        <v>104</v>
      </c>
      <c r="K521" s="43" t="s">
        <v>105</v>
      </c>
      <c r="L521" s="24">
        <v>126</v>
      </c>
      <c r="M521" s="44">
        <v>4749140</v>
      </c>
      <c r="N521" s="26">
        <v>91482</v>
      </c>
      <c r="O521" s="27">
        <f t="shared" si="8"/>
        <v>5271545.4000000004</v>
      </c>
    </row>
    <row r="522" spans="1:15" ht="12.2" customHeight="1" x14ac:dyDescent="0.25">
      <c r="A522" s="28"/>
      <c r="B522" s="33"/>
      <c r="C522" s="33"/>
      <c r="D522" s="33"/>
      <c r="E522" s="33"/>
      <c r="F522" s="33"/>
      <c r="G522" s="33"/>
      <c r="H522" s="33"/>
      <c r="I522" s="33"/>
      <c r="J522" s="43" t="s">
        <v>27</v>
      </c>
      <c r="K522" s="22" t="s">
        <v>28</v>
      </c>
      <c r="L522" s="44">
        <v>378</v>
      </c>
      <c r="M522" s="24">
        <v>14247419</v>
      </c>
      <c r="N522" s="44">
        <v>91482</v>
      </c>
      <c r="O522" s="27">
        <f t="shared" si="8"/>
        <v>15814635.090000002</v>
      </c>
    </row>
    <row r="523" spans="1:15" ht="12.2" customHeight="1" x14ac:dyDescent="0.25">
      <c r="A523" s="28"/>
      <c r="B523" s="33"/>
      <c r="C523" s="33"/>
      <c r="D523" s="33"/>
      <c r="E523" s="33"/>
      <c r="F523" s="33"/>
      <c r="G523" s="33"/>
      <c r="H523" s="33"/>
      <c r="I523" s="33"/>
      <c r="J523" s="42" t="s">
        <v>90</v>
      </c>
      <c r="K523" s="43" t="s">
        <v>91</v>
      </c>
      <c r="L523" s="24">
        <v>1260</v>
      </c>
      <c r="M523" s="44">
        <v>4584565</v>
      </c>
      <c r="N523" s="26">
        <v>8831</v>
      </c>
      <c r="O523" s="27">
        <f t="shared" si="8"/>
        <v>5088867.1500000004</v>
      </c>
    </row>
    <row r="524" spans="1:15" ht="12.2" customHeight="1" x14ac:dyDescent="0.25">
      <c r="A524" s="28"/>
      <c r="B524" s="33"/>
      <c r="C524" s="34"/>
      <c r="D524" s="34"/>
      <c r="E524" s="34"/>
      <c r="F524" s="34"/>
      <c r="G524" s="34"/>
      <c r="H524" s="34"/>
      <c r="I524" s="34"/>
      <c r="J524" s="45" t="s">
        <v>56</v>
      </c>
      <c r="K524" s="22" t="s">
        <v>57</v>
      </c>
      <c r="L524" s="46">
        <v>756</v>
      </c>
      <c r="M524" s="24">
        <v>10650298</v>
      </c>
      <c r="N524" s="46">
        <v>34192</v>
      </c>
      <c r="O524" s="27">
        <f t="shared" si="8"/>
        <v>11821830.780000001</v>
      </c>
    </row>
    <row r="525" spans="1:15" ht="12.2" customHeight="1" x14ac:dyDescent="0.25">
      <c r="A525" s="28"/>
      <c r="B525" s="33"/>
      <c r="C525" s="30" t="s">
        <v>224</v>
      </c>
      <c r="D525" s="31" t="s">
        <v>526</v>
      </c>
      <c r="E525" s="31" t="s">
        <v>527</v>
      </c>
      <c r="F525" s="31" t="s">
        <v>528</v>
      </c>
      <c r="G525" s="31" t="s">
        <v>529</v>
      </c>
      <c r="H525" s="31" t="s">
        <v>269</v>
      </c>
      <c r="I525" s="31" t="s">
        <v>26</v>
      </c>
      <c r="J525" s="23" t="s">
        <v>332</v>
      </c>
      <c r="K525" s="22" t="s">
        <v>333</v>
      </c>
      <c r="L525" s="25">
        <v>37</v>
      </c>
      <c r="M525" s="24">
        <v>1036385</v>
      </c>
      <c r="N525" s="25">
        <v>65215</v>
      </c>
      <c r="O525" s="27">
        <f t="shared" si="8"/>
        <v>1150387.3500000001</v>
      </c>
    </row>
    <row r="526" spans="1:15" ht="12.2" customHeight="1" x14ac:dyDescent="0.25">
      <c r="A526" s="28"/>
      <c r="B526" s="33"/>
      <c r="C526" s="33"/>
      <c r="D526" s="33"/>
      <c r="E526" s="33"/>
      <c r="F526" s="33"/>
      <c r="G526" s="33"/>
      <c r="H526" s="33"/>
      <c r="I526" s="33"/>
      <c r="J526" s="22" t="s">
        <v>64</v>
      </c>
      <c r="K526" s="43" t="s">
        <v>65</v>
      </c>
      <c r="L526" s="24">
        <v>37</v>
      </c>
      <c r="M526" s="44">
        <v>1036385</v>
      </c>
      <c r="N526" s="26">
        <v>65215</v>
      </c>
      <c r="O526" s="27">
        <f t="shared" si="8"/>
        <v>1150387.3500000001</v>
      </c>
    </row>
    <row r="527" spans="1:15" ht="12.2" customHeight="1" x14ac:dyDescent="0.25">
      <c r="A527" s="28"/>
      <c r="B527" s="33"/>
      <c r="C527" s="33"/>
      <c r="D527" s="33"/>
      <c r="E527" s="33"/>
      <c r="F527" s="33"/>
      <c r="G527" s="33"/>
      <c r="H527" s="33"/>
      <c r="I527" s="33"/>
      <c r="J527" s="43" t="s">
        <v>142</v>
      </c>
      <c r="K527" s="22" t="s">
        <v>143</v>
      </c>
      <c r="L527" s="44">
        <v>37</v>
      </c>
      <c r="M527" s="24">
        <v>1036385</v>
      </c>
      <c r="N527" s="44">
        <v>65215</v>
      </c>
      <c r="O527" s="27">
        <f t="shared" si="8"/>
        <v>1150387.3500000001</v>
      </c>
    </row>
    <row r="528" spans="1:15" ht="12.2" customHeight="1" x14ac:dyDescent="0.25">
      <c r="A528" s="28"/>
      <c r="B528" s="33"/>
      <c r="C528" s="33"/>
      <c r="D528" s="33"/>
      <c r="E528" s="33"/>
      <c r="F528" s="33"/>
      <c r="G528" s="33"/>
      <c r="H528" s="33"/>
      <c r="I528" s="33"/>
      <c r="J528" s="22" t="s">
        <v>66</v>
      </c>
      <c r="K528" s="43" t="s">
        <v>67</v>
      </c>
      <c r="L528" s="24">
        <v>37</v>
      </c>
      <c r="M528" s="44">
        <v>1036385</v>
      </c>
      <c r="N528" s="26">
        <v>65215</v>
      </c>
      <c r="O528" s="27">
        <f t="shared" si="8"/>
        <v>1150387.3500000001</v>
      </c>
    </row>
    <row r="529" spans="1:15" ht="12.2" customHeight="1" x14ac:dyDescent="0.25">
      <c r="A529" s="28"/>
      <c r="B529" s="33"/>
      <c r="C529" s="33"/>
      <c r="D529" s="33"/>
      <c r="E529" s="33"/>
      <c r="F529" s="33"/>
      <c r="G529" s="33"/>
      <c r="H529" s="33"/>
      <c r="I529" s="33"/>
      <c r="J529" s="43" t="s">
        <v>68</v>
      </c>
      <c r="K529" s="22" t="s">
        <v>69</v>
      </c>
      <c r="L529" s="44">
        <v>37</v>
      </c>
      <c r="M529" s="24">
        <v>1036385</v>
      </c>
      <c r="N529" s="44">
        <v>65215</v>
      </c>
      <c r="O529" s="27">
        <f t="shared" si="8"/>
        <v>1150387.3500000001</v>
      </c>
    </row>
    <row r="530" spans="1:15" ht="12.2" customHeight="1" x14ac:dyDescent="0.25">
      <c r="A530" s="28"/>
      <c r="B530" s="33"/>
      <c r="C530" s="33"/>
      <c r="D530" s="33"/>
      <c r="E530" s="33"/>
      <c r="F530" s="33"/>
      <c r="G530" s="33"/>
      <c r="H530" s="33"/>
      <c r="I530" s="33"/>
      <c r="J530" s="42" t="s">
        <v>70</v>
      </c>
      <c r="K530" s="43" t="s">
        <v>71</v>
      </c>
      <c r="L530" s="24">
        <v>25</v>
      </c>
      <c r="M530" s="44">
        <v>417433</v>
      </c>
      <c r="N530" s="26">
        <v>39401</v>
      </c>
      <c r="O530" s="27">
        <f t="shared" si="8"/>
        <v>463350.63000000006</v>
      </c>
    </row>
    <row r="531" spans="1:15" ht="12.2" customHeight="1" x14ac:dyDescent="0.25">
      <c r="A531" s="28"/>
      <c r="B531" s="33"/>
      <c r="C531" s="33"/>
      <c r="D531" s="33"/>
      <c r="E531" s="33"/>
      <c r="F531" s="33"/>
      <c r="G531" s="33"/>
      <c r="H531" s="33"/>
      <c r="I531" s="33"/>
      <c r="J531" s="43" t="s">
        <v>72</v>
      </c>
      <c r="K531" s="22" t="s">
        <v>73</v>
      </c>
      <c r="L531" s="44">
        <v>25</v>
      </c>
      <c r="M531" s="24">
        <v>417433</v>
      </c>
      <c r="N531" s="44">
        <v>39401</v>
      </c>
      <c r="O531" s="27">
        <f t="shared" si="8"/>
        <v>463350.63000000006</v>
      </c>
    </row>
    <row r="532" spans="1:15" ht="12.2" customHeight="1" x14ac:dyDescent="0.25">
      <c r="A532" s="28"/>
      <c r="B532" s="33"/>
      <c r="C532" s="33"/>
      <c r="D532" s="33"/>
      <c r="E532" s="33"/>
      <c r="F532" s="33"/>
      <c r="G532" s="33"/>
      <c r="H532" s="33"/>
      <c r="I532" s="33"/>
      <c r="J532" s="42" t="s">
        <v>74</v>
      </c>
      <c r="K532" s="43" t="s">
        <v>75</v>
      </c>
      <c r="L532" s="24">
        <v>25</v>
      </c>
      <c r="M532" s="44">
        <v>417433</v>
      </c>
      <c r="N532" s="26">
        <v>39401</v>
      </c>
      <c r="O532" s="27">
        <f t="shared" si="8"/>
        <v>463350.63000000006</v>
      </c>
    </row>
    <row r="533" spans="1:15" ht="12.2" customHeight="1" x14ac:dyDescent="0.25">
      <c r="A533" s="28"/>
      <c r="B533" s="33"/>
      <c r="C533" s="33"/>
      <c r="D533" s="33"/>
      <c r="E533" s="33"/>
      <c r="F533" s="33"/>
      <c r="G533" s="33"/>
      <c r="H533" s="33"/>
      <c r="I533" s="33"/>
      <c r="J533" s="43" t="s">
        <v>76</v>
      </c>
      <c r="K533" s="22" t="s">
        <v>77</v>
      </c>
      <c r="L533" s="44">
        <v>25</v>
      </c>
      <c r="M533" s="24">
        <v>417433</v>
      </c>
      <c r="N533" s="44">
        <v>39401</v>
      </c>
      <c r="O533" s="27">
        <f t="shared" si="8"/>
        <v>463350.63000000006</v>
      </c>
    </row>
    <row r="534" spans="1:15" ht="12.2" customHeight="1" x14ac:dyDescent="0.25">
      <c r="A534" s="28"/>
      <c r="B534" s="33"/>
      <c r="C534" s="33"/>
      <c r="D534" s="33"/>
      <c r="E534" s="33"/>
      <c r="F534" s="33"/>
      <c r="G534" s="33"/>
      <c r="H534" s="33"/>
      <c r="I534" s="33"/>
      <c r="J534" s="42" t="s">
        <v>78</v>
      </c>
      <c r="K534" s="43" t="s">
        <v>79</v>
      </c>
      <c r="L534" s="24">
        <v>25</v>
      </c>
      <c r="M534" s="44">
        <v>417433</v>
      </c>
      <c r="N534" s="26">
        <v>39401</v>
      </c>
      <c r="O534" s="27">
        <f t="shared" si="8"/>
        <v>463350.63000000006</v>
      </c>
    </row>
    <row r="535" spans="1:15" ht="12.2" customHeight="1" x14ac:dyDescent="0.25">
      <c r="A535" s="28"/>
      <c r="B535" s="33"/>
      <c r="C535" s="33"/>
      <c r="D535" s="33"/>
      <c r="E535" s="33"/>
      <c r="F535" s="33"/>
      <c r="G535" s="33"/>
      <c r="H535" s="33"/>
      <c r="I535" s="33"/>
      <c r="J535" s="43" t="s">
        <v>35</v>
      </c>
      <c r="K535" s="22" t="s">
        <v>36</v>
      </c>
      <c r="L535" s="44">
        <v>504</v>
      </c>
      <c r="M535" s="24">
        <v>6717312</v>
      </c>
      <c r="N535" s="44">
        <v>31702</v>
      </c>
      <c r="O535" s="27">
        <f t="shared" si="8"/>
        <v>7456216.3200000003</v>
      </c>
    </row>
    <row r="536" spans="1:15" ht="12.2" customHeight="1" x14ac:dyDescent="0.25">
      <c r="A536" s="28"/>
      <c r="B536" s="33"/>
      <c r="C536" s="34"/>
      <c r="D536" s="34"/>
      <c r="E536" s="34"/>
      <c r="F536" s="34"/>
      <c r="G536" s="34"/>
      <c r="H536" s="34"/>
      <c r="I536" s="34"/>
      <c r="J536" s="42" t="s">
        <v>37</v>
      </c>
      <c r="K536" s="45" t="s">
        <v>38</v>
      </c>
      <c r="L536" s="24">
        <v>1512</v>
      </c>
      <c r="M536" s="46">
        <v>30227905</v>
      </c>
      <c r="N536" s="26">
        <v>47552</v>
      </c>
      <c r="O536" s="27">
        <f t="shared" si="8"/>
        <v>33552974.550000004</v>
      </c>
    </row>
    <row r="537" spans="1:15" ht="12.2" customHeight="1" x14ac:dyDescent="0.25">
      <c r="A537" s="28"/>
      <c r="B537" s="33"/>
      <c r="C537" s="94" t="s">
        <v>463</v>
      </c>
      <c r="D537" s="22" t="s">
        <v>530</v>
      </c>
      <c r="E537" s="45" t="s">
        <v>521</v>
      </c>
      <c r="F537" s="22" t="s">
        <v>522</v>
      </c>
      <c r="G537" s="45" t="s">
        <v>523</v>
      </c>
      <c r="H537" s="22" t="s">
        <v>269</v>
      </c>
      <c r="I537" s="45" t="s">
        <v>26</v>
      </c>
      <c r="J537" s="22" t="s">
        <v>27</v>
      </c>
      <c r="K537" s="73" t="s">
        <v>28</v>
      </c>
      <c r="L537" s="24">
        <v>378</v>
      </c>
      <c r="M537" s="74">
        <v>14247419</v>
      </c>
      <c r="N537" s="26">
        <v>91482</v>
      </c>
      <c r="O537" s="27">
        <f t="shared" si="8"/>
        <v>15814635.090000002</v>
      </c>
    </row>
    <row r="538" spans="1:15" ht="12.2" customHeight="1" x14ac:dyDescent="0.25">
      <c r="A538" s="28"/>
      <c r="B538" s="33"/>
      <c r="C538" s="95" t="s">
        <v>207</v>
      </c>
      <c r="D538" s="22" t="s">
        <v>531</v>
      </c>
      <c r="E538" s="73" t="s">
        <v>532</v>
      </c>
      <c r="F538" s="22" t="s">
        <v>533</v>
      </c>
      <c r="G538" s="73" t="s">
        <v>534</v>
      </c>
      <c r="H538" s="22" t="s">
        <v>269</v>
      </c>
      <c r="I538" s="73" t="s">
        <v>299</v>
      </c>
      <c r="J538" s="22" t="s">
        <v>37</v>
      </c>
      <c r="K538" s="73" t="s">
        <v>38</v>
      </c>
      <c r="L538" s="24">
        <v>120</v>
      </c>
      <c r="M538" s="74">
        <v>2570400</v>
      </c>
      <c r="N538" s="26">
        <v>23776</v>
      </c>
      <c r="O538" s="27">
        <f t="shared" si="8"/>
        <v>2853144.0000000005</v>
      </c>
    </row>
    <row r="539" spans="1:15" ht="12.2" customHeight="1" x14ac:dyDescent="0.25">
      <c r="A539" s="28"/>
      <c r="B539" s="33"/>
      <c r="C539" s="30" t="s">
        <v>163</v>
      </c>
      <c r="D539" s="31" t="s">
        <v>535</v>
      </c>
      <c r="E539" s="31" t="s">
        <v>536</v>
      </c>
      <c r="F539" s="31" t="s">
        <v>537</v>
      </c>
      <c r="G539" s="31" t="s">
        <v>538</v>
      </c>
      <c r="H539" s="31" t="s">
        <v>269</v>
      </c>
      <c r="I539" s="35" t="s">
        <v>26</v>
      </c>
      <c r="J539" s="22" t="s">
        <v>37</v>
      </c>
      <c r="K539" s="49" t="s">
        <v>38</v>
      </c>
      <c r="L539" s="24">
        <v>24</v>
      </c>
      <c r="M539" s="50">
        <v>514080</v>
      </c>
      <c r="N539" s="26">
        <v>23776</v>
      </c>
      <c r="O539" s="27">
        <f t="shared" si="8"/>
        <v>570628.80000000005</v>
      </c>
    </row>
    <row r="540" spans="1:15" ht="12.2" customHeight="1" x14ac:dyDescent="0.25">
      <c r="A540" s="28"/>
      <c r="B540" s="33"/>
      <c r="C540" s="34"/>
      <c r="D540" s="34"/>
      <c r="E540" s="34"/>
      <c r="F540" s="34"/>
      <c r="G540" s="34"/>
      <c r="H540" s="34"/>
      <c r="I540" s="36"/>
      <c r="J540" s="61" t="s">
        <v>309</v>
      </c>
      <c r="K540" s="22" t="s">
        <v>310</v>
      </c>
      <c r="L540" s="44">
        <v>4</v>
      </c>
      <c r="M540" s="24">
        <v>292536</v>
      </c>
      <c r="N540" s="44">
        <v>81179</v>
      </c>
      <c r="O540" s="27">
        <f t="shared" si="8"/>
        <v>324714.96000000002</v>
      </c>
    </row>
    <row r="541" spans="1:15" ht="12.2" customHeight="1" x14ac:dyDescent="0.25">
      <c r="A541" s="28"/>
      <c r="B541" s="33"/>
      <c r="C541" s="30" t="s">
        <v>419</v>
      </c>
      <c r="D541" s="31" t="s">
        <v>539</v>
      </c>
      <c r="E541" s="31" t="s">
        <v>540</v>
      </c>
      <c r="F541" s="31" t="s">
        <v>541</v>
      </c>
      <c r="G541" s="31" t="s">
        <v>542</v>
      </c>
      <c r="H541" s="31" t="s">
        <v>440</v>
      </c>
      <c r="I541" s="31" t="s">
        <v>49</v>
      </c>
      <c r="J541" s="23" t="s">
        <v>35</v>
      </c>
      <c r="K541" s="52" t="s">
        <v>36</v>
      </c>
      <c r="L541" s="25">
        <v>252</v>
      </c>
      <c r="M541" s="53">
        <v>3291483</v>
      </c>
      <c r="N541" s="25">
        <v>31702</v>
      </c>
      <c r="O541" s="27">
        <f t="shared" si="8"/>
        <v>3653546.1300000004</v>
      </c>
    </row>
    <row r="542" spans="1:15" ht="12.2" customHeight="1" x14ac:dyDescent="0.25">
      <c r="A542" s="28"/>
      <c r="B542" s="33"/>
      <c r="C542" s="33"/>
      <c r="D542" s="33"/>
      <c r="E542" s="33"/>
      <c r="F542" s="33"/>
      <c r="G542" s="96"/>
      <c r="H542" s="96"/>
      <c r="I542" s="96"/>
      <c r="J542" s="22" t="s">
        <v>27</v>
      </c>
      <c r="K542" s="23" t="s">
        <v>28</v>
      </c>
      <c r="L542" s="24">
        <v>126</v>
      </c>
      <c r="M542" s="25">
        <v>4749140</v>
      </c>
      <c r="N542" s="26">
        <v>91482</v>
      </c>
      <c r="O542" s="27">
        <f t="shared" si="8"/>
        <v>5271545.4000000004</v>
      </c>
    </row>
    <row r="543" spans="1:15" ht="12.2" customHeight="1" x14ac:dyDescent="0.25">
      <c r="A543" s="28"/>
      <c r="B543" s="34"/>
      <c r="C543" s="34"/>
      <c r="D543" s="34"/>
      <c r="E543" s="34"/>
      <c r="F543" s="34"/>
      <c r="G543" s="97"/>
      <c r="H543" s="97"/>
      <c r="I543" s="97"/>
      <c r="J543" s="23" t="s">
        <v>90</v>
      </c>
      <c r="K543" s="22" t="s">
        <v>91</v>
      </c>
      <c r="L543" s="39">
        <v>252</v>
      </c>
      <c r="M543" s="24">
        <v>916913</v>
      </c>
      <c r="N543" s="39">
        <v>8831</v>
      </c>
      <c r="O543" s="27">
        <f t="shared" si="8"/>
        <v>1017773.43</v>
      </c>
    </row>
    <row r="544" spans="1:15" ht="12.2" customHeight="1" x14ac:dyDescent="0.25">
      <c r="A544" s="98"/>
      <c r="B544" s="99" t="s">
        <v>543</v>
      </c>
      <c r="C544" s="100"/>
      <c r="D544" s="100"/>
      <c r="E544" s="100"/>
      <c r="F544" s="100"/>
      <c r="G544" s="100"/>
      <c r="H544" s="100"/>
      <c r="I544" s="100"/>
      <c r="J544" s="100"/>
      <c r="K544" s="101"/>
      <c r="L544" s="39">
        <v>40902</v>
      </c>
      <c r="M544" s="24">
        <v>729886441</v>
      </c>
      <c r="N544" s="39">
        <v>15274737</v>
      </c>
      <c r="O544" s="27">
        <f t="shared" si="8"/>
        <v>810173949.51000011</v>
      </c>
    </row>
  </sheetData>
  <mergeCells count="589">
    <mergeCell ref="I541:I543"/>
    <mergeCell ref="B544:K544"/>
    <mergeCell ref="C541:C543"/>
    <mergeCell ref="D541:D543"/>
    <mergeCell ref="E541:E543"/>
    <mergeCell ref="F541:F543"/>
    <mergeCell ref="G541:G543"/>
    <mergeCell ref="H541:H543"/>
    <mergeCell ref="I525:I536"/>
    <mergeCell ref="C539:C540"/>
    <mergeCell ref="D539:D540"/>
    <mergeCell ref="E539:E540"/>
    <mergeCell ref="F539:F540"/>
    <mergeCell ref="G539:G540"/>
    <mergeCell ref="H539:H540"/>
    <mergeCell ref="I539:I540"/>
    <mergeCell ref="C525:C536"/>
    <mergeCell ref="D525:D536"/>
    <mergeCell ref="E525:E536"/>
    <mergeCell ref="F525:F536"/>
    <mergeCell ref="G525:G536"/>
    <mergeCell ref="H525:H536"/>
    <mergeCell ref="I509:I511"/>
    <mergeCell ref="C512:C524"/>
    <mergeCell ref="D512:D524"/>
    <mergeCell ref="E512:E524"/>
    <mergeCell ref="F512:F524"/>
    <mergeCell ref="G512:G524"/>
    <mergeCell ref="H512:H524"/>
    <mergeCell ref="I512:I524"/>
    <mergeCell ref="C509:C511"/>
    <mergeCell ref="D509:D511"/>
    <mergeCell ref="E509:E511"/>
    <mergeCell ref="F509:F511"/>
    <mergeCell ref="G509:G511"/>
    <mergeCell ref="H509:H511"/>
    <mergeCell ref="D504:D507"/>
    <mergeCell ref="E504:E507"/>
    <mergeCell ref="F504:F507"/>
    <mergeCell ref="G504:G507"/>
    <mergeCell ref="H504:H507"/>
    <mergeCell ref="I504:I507"/>
    <mergeCell ref="D500:D503"/>
    <mergeCell ref="E500:E503"/>
    <mergeCell ref="F500:F503"/>
    <mergeCell ref="G500:G503"/>
    <mergeCell ref="H500:H503"/>
    <mergeCell ref="I500:I503"/>
    <mergeCell ref="I482:I492"/>
    <mergeCell ref="D493:D499"/>
    <mergeCell ref="E493:E499"/>
    <mergeCell ref="F493:F499"/>
    <mergeCell ref="G493:G499"/>
    <mergeCell ref="H493:H499"/>
    <mergeCell ref="I493:I499"/>
    <mergeCell ref="E480:E481"/>
    <mergeCell ref="F480:F481"/>
    <mergeCell ref="G480:G481"/>
    <mergeCell ref="H480:H481"/>
    <mergeCell ref="I480:I481"/>
    <mergeCell ref="D482:D492"/>
    <mergeCell ref="E482:E492"/>
    <mergeCell ref="F482:F492"/>
    <mergeCell ref="G482:G492"/>
    <mergeCell ref="H482:H492"/>
    <mergeCell ref="I471:I472"/>
    <mergeCell ref="B473:B543"/>
    <mergeCell ref="C473:C508"/>
    <mergeCell ref="D473:D478"/>
    <mergeCell ref="E473:E478"/>
    <mergeCell ref="F473:F478"/>
    <mergeCell ref="G473:G478"/>
    <mergeCell ref="H473:H478"/>
    <mergeCell ref="I473:I478"/>
    <mergeCell ref="D480:D481"/>
    <mergeCell ref="C471:C472"/>
    <mergeCell ref="D471:D472"/>
    <mergeCell ref="E471:E472"/>
    <mergeCell ref="F471:F472"/>
    <mergeCell ref="G471:G472"/>
    <mergeCell ref="H471:H472"/>
    <mergeCell ref="D463:D470"/>
    <mergeCell ref="E463:E470"/>
    <mergeCell ref="F463:F470"/>
    <mergeCell ref="G463:G470"/>
    <mergeCell ref="H463:H470"/>
    <mergeCell ref="I463:I470"/>
    <mergeCell ref="D459:D462"/>
    <mergeCell ref="E459:E462"/>
    <mergeCell ref="F459:F462"/>
    <mergeCell ref="G459:G462"/>
    <mergeCell ref="H459:H462"/>
    <mergeCell ref="I459:I462"/>
    <mergeCell ref="I442:I454"/>
    <mergeCell ref="D455:D458"/>
    <mergeCell ref="E455:E458"/>
    <mergeCell ref="F455:F458"/>
    <mergeCell ref="G455:G458"/>
    <mergeCell ref="H455:H458"/>
    <mergeCell ref="I455:I458"/>
    <mergeCell ref="F433:F440"/>
    <mergeCell ref="G433:G440"/>
    <mergeCell ref="H433:H440"/>
    <mergeCell ref="I433:I440"/>
    <mergeCell ref="C442:C470"/>
    <mergeCell ref="D442:D454"/>
    <mergeCell ref="E442:E454"/>
    <mergeCell ref="F442:F454"/>
    <mergeCell ref="G442:G454"/>
    <mergeCell ref="H442:H454"/>
    <mergeCell ref="I423:I424"/>
    <mergeCell ref="C425:C441"/>
    <mergeCell ref="D425:D432"/>
    <mergeCell ref="E425:E432"/>
    <mergeCell ref="F425:F432"/>
    <mergeCell ref="G425:G432"/>
    <mergeCell ref="H425:H432"/>
    <mergeCell ref="I425:I432"/>
    <mergeCell ref="D433:D440"/>
    <mergeCell ref="E433:E440"/>
    <mergeCell ref="C423:C424"/>
    <mergeCell ref="D423:D424"/>
    <mergeCell ref="E423:E424"/>
    <mergeCell ref="F423:F424"/>
    <mergeCell ref="G423:G424"/>
    <mergeCell ref="H423:H424"/>
    <mergeCell ref="D416:D421"/>
    <mergeCell ref="E416:E421"/>
    <mergeCell ref="F416:F421"/>
    <mergeCell ref="G416:G421"/>
    <mergeCell ref="H416:H421"/>
    <mergeCell ref="I416:I421"/>
    <mergeCell ref="D414:D415"/>
    <mergeCell ref="E414:E415"/>
    <mergeCell ref="F414:F415"/>
    <mergeCell ref="G414:G415"/>
    <mergeCell ref="H414:H415"/>
    <mergeCell ref="I414:I415"/>
    <mergeCell ref="H401:H402"/>
    <mergeCell ref="I401:I402"/>
    <mergeCell ref="D403:D413"/>
    <mergeCell ref="E403:E413"/>
    <mergeCell ref="F403:F413"/>
    <mergeCell ref="G403:G413"/>
    <mergeCell ref="H403:H413"/>
    <mergeCell ref="I403:I413"/>
    <mergeCell ref="I394:I397"/>
    <mergeCell ref="D398:D400"/>
    <mergeCell ref="E398:E400"/>
    <mergeCell ref="F398:F400"/>
    <mergeCell ref="G398:G400"/>
    <mergeCell ref="H398:H400"/>
    <mergeCell ref="I398:I400"/>
    <mergeCell ref="C394:C421"/>
    <mergeCell ref="D394:D397"/>
    <mergeCell ref="E394:E397"/>
    <mergeCell ref="F394:F397"/>
    <mergeCell ref="G394:G397"/>
    <mergeCell ref="H394:H397"/>
    <mergeCell ref="D401:D402"/>
    <mergeCell ref="E401:E402"/>
    <mergeCell ref="F401:F402"/>
    <mergeCell ref="G401:G402"/>
    <mergeCell ref="D388:D392"/>
    <mergeCell ref="E388:E392"/>
    <mergeCell ref="F388:F392"/>
    <mergeCell ref="G388:G392"/>
    <mergeCell ref="H388:H392"/>
    <mergeCell ref="I388:I392"/>
    <mergeCell ref="H379:H382"/>
    <mergeCell ref="I379:I382"/>
    <mergeCell ref="D383:D387"/>
    <mergeCell ref="E383:E387"/>
    <mergeCell ref="F383:F387"/>
    <mergeCell ref="G383:G387"/>
    <mergeCell ref="H383:H387"/>
    <mergeCell ref="I383:I387"/>
    <mergeCell ref="I372:I375"/>
    <mergeCell ref="D376:D378"/>
    <mergeCell ref="E376:E378"/>
    <mergeCell ref="F376:F378"/>
    <mergeCell ref="G376:G378"/>
    <mergeCell ref="H376:H378"/>
    <mergeCell ref="I376:I378"/>
    <mergeCell ref="C372:C392"/>
    <mergeCell ref="D372:D375"/>
    <mergeCell ref="E372:E375"/>
    <mergeCell ref="F372:F375"/>
    <mergeCell ref="G372:G375"/>
    <mergeCell ref="H372:H375"/>
    <mergeCell ref="D379:D382"/>
    <mergeCell ref="E379:E382"/>
    <mergeCell ref="F379:F382"/>
    <mergeCell ref="G379:G382"/>
    <mergeCell ref="D364:D369"/>
    <mergeCell ref="E364:E369"/>
    <mergeCell ref="F364:F369"/>
    <mergeCell ref="G364:G369"/>
    <mergeCell ref="H364:H369"/>
    <mergeCell ref="I364:I369"/>
    <mergeCell ref="D361:D363"/>
    <mergeCell ref="E361:E363"/>
    <mergeCell ref="F361:F363"/>
    <mergeCell ref="G361:G363"/>
    <mergeCell ref="H361:H363"/>
    <mergeCell ref="I361:I363"/>
    <mergeCell ref="H347:H354"/>
    <mergeCell ref="I347:I354"/>
    <mergeCell ref="D355:D360"/>
    <mergeCell ref="E355:E360"/>
    <mergeCell ref="F355:F360"/>
    <mergeCell ref="G355:G360"/>
    <mergeCell ref="H355:H360"/>
    <mergeCell ref="I355:I360"/>
    <mergeCell ref="H332:H337"/>
    <mergeCell ref="I332:I337"/>
    <mergeCell ref="D338:D346"/>
    <mergeCell ref="E338:E346"/>
    <mergeCell ref="F338:F346"/>
    <mergeCell ref="G338:G346"/>
    <mergeCell ref="H338:H346"/>
    <mergeCell ref="I338:I346"/>
    <mergeCell ref="B331:B472"/>
    <mergeCell ref="C332:C369"/>
    <mergeCell ref="D332:D337"/>
    <mergeCell ref="E332:E337"/>
    <mergeCell ref="F332:F337"/>
    <mergeCell ref="G332:G337"/>
    <mergeCell ref="D347:D354"/>
    <mergeCell ref="E347:E354"/>
    <mergeCell ref="F347:F354"/>
    <mergeCell ref="G347:G354"/>
    <mergeCell ref="I319:I326"/>
    <mergeCell ref="C327:C330"/>
    <mergeCell ref="D327:D329"/>
    <mergeCell ref="E327:E329"/>
    <mergeCell ref="F327:F329"/>
    <mergeCell ref="G327:G329"/>
    <mergeCell ref="H327:H329"/>
    <mergeCell ref="I327:I329"/>
    <mergeCell ref="C319:C326"/>
    <mergeCell ref="D319:D326"/>
    <mergeCell ref="E319:E326"/>
    <mergeCell ref="F319:F326"/>
    <mergeCell ref="G319:G326"/>
    <mergeCell ref="H319:H326"/>
    <mergeCell ref="H298:H313"/>
    <mergeCell ref="I298:I313"/>
    <mergeCell ref="C314:C317"/>
    <mergeCell ref="D314:D317"/>
    <mergeCell ref="E314:E317"/>
    <mergeCell ref="F314:F317"/>
    <mergeCell ref="G314:G317"/>
    <mergeCell ref="H314:H317"/>
    <mergeCell ref="I314:I317"/>
    <mergeCell ref="I293:I295"/>
    <mergeCell ref="D296:D297"/>
    <mergeCell ref="E296:E297"/>
    <mergeCell ref="F296:F297"/>
    <mergeCell ref="G296:G297"/>
    <mergeCell ref="H296:H297"/>
    <mergeCell ref="I296:I297"/>
    <mergeCell ref="C293:C313"/>
    <mergeCell ref="D293:D295"/>
    <mergeCell ref="E293:E295"/>
    <mergeCell ref="F293:F295"/>
    <mergeCell ref="G293:G295"/>
    <mergeCell ref="H293:H295"/>
    <mergeCell ref="D298:D313"/>
    <mergeCell ref="E298:E313"/>
    <mergeCell ref="F298:F313"/>
    <mergeCell ref="G298:G313"/>
    <mergeCell ref="D287:D291"/>
    <mergeCell ref="E287:E291"/>
    <mergeCell ref="F287:F291"/>
    <mergeCell ref="G287:G291"/>
    <mergeCell ref="H287:H291"/>
    <mergeCell ref="I287:I291"/>
    <mergeCell ref="H274:H283"/>
    <mergeCell ref="I274:I283"/>
    <mergeCell ref="D284:D286"/>
    <mergeCell ref="E284:E286"/>
    <mergeCell ref="F284:F286"/>
    <mergeCell ref="G284:G286"/>
    <mergeCell ref="H284:H286"/>
    <mergeCell ref="I284:I286"/>
    <mergeCell ref="I249:I268"/>
    <mergeCell ref="D269:D273"/>
    <mergeCell ref="E269:E273"/>
    <mergeCell ref="F269:F273"/>
    <mergeCell ref="G269:G273"/>
    <mergeCell ref="H269:H273"/>
    <mergeCell ref="I269:I273"/>
    <mergeCell ref="C249:C291"/>
    <mergeCell ref="D249:D268"/>
    <mergeCell ref="E249:E268"/>
    <mergeCell ref="F249:F268"/>
    <mergeCell ref="G249:G268"/>
    <mergeCell ref="H249:H268"/>
    <mergeCell ref="D274:D283"/>
    <mergeCell ref="E274:E283"/>
    <mergeCell ref="F274:F283"/>
    <mergeCell ref="G274:G283"/>
    <mergeCell ref="I243:I245"/>
    <mergeCell ref="D246:D248"/>
    <mergeCell ref="E246:E248"/>
    <mergeCell ref="F246:F248"/>
    <mergeCell ref="G246:G248"/>
    <mergeCell ref="H246:H248"/>
    <mergeCell ref="I246:I248"/>
    <mergeCell ref="C243:C248"/>
    <mergeCell ref="D243:D245"/>
    <mergeCell ref="E243:E245"/>
    <mergeCell ref="F243:F245"/>
    <mergeCell ref="G243:G245"/>
    <mergeCell ref="H243:H245"/>
    <mergeCell ref="I231:I239"/>
    <mergeCell ref="D241:D242"/>
    <mergeCell ref="E241:E242"/>
    <mergeCell ref="F241:F242"/>
    <mergeCell ref="G241:G242"/>
    <mergeCell ref="H241:H242"/>
    <mergeCell ref="I241:I242"/>
    <mergeCell ref="C231:C242"/>
    <mergeCell ref="D231:D239"/>
    <mergeCell ref="E231:E239"/>
    <mergeCell ref="F231:F239"/>
    <mergeCell ref="G231:G239"/>
    <mergeCell ref="H231:H239"/>
    <mergeCell ref="I216:I228"/>
    <mergeCell ref="C229:C230"/>
    <mergeCell ref="D229:D230"/>
    <mergeCell ref="E229:E230"/>
    <mergeCell ref="F229:F230"/>
    <mergeCell ref="G229:G230"/>
    <mergeCell ref="H229:H230"/>
    <mergeCell ref="I229:I230"/>
    <mergeCell ref="C216:C228"/>
    <mergeCell ref="D216:D228"/>
    <mergeCell ref="E216:E228"/>
    <mergeCell ref="F216:F228"/>
    <mergeCell ref="G216:G228"/>
    <mergeCell ref="H216:H228"/>
    <mergeCell ref="F193:F206"/>
    <mergeCell ref="G193:G206"/>
    <mergeCell ref="H193:H206"/>
    <mergeCell ref="I193:I206"/>
    <mergeCell ref="D207:D215"/>
    <mergeCell ref="E207:E215"/>
    <mergeCell ref="F207:F215"/>
    <mergeCell ref="G207:G215"/>
    <mergeCell ref="H207:H215"/>
    <mergeCell ref="I207:I215"/>
    <mergeCell ref="I182:I187"/>
    <mergeCell ref="C189:C215"/>
    <mergeCell ref="D189:D192"/>
    <mergeCell ref="E189:E192"/>
    <mergeCell ref="F189:F192"/>
    <mergeCell ref="G189:G192"/>
    <mergeCell ref="H189:H192"/>
    <mergeCell ref="I189:I192"/>
    <mergeCell ref="D193:D206"/>
    <mergeCell ref="E193:E206"/>
    <mergeCell ref="C182:C187"/>
    <mergeCell ref="D182:D187"/>
    <mergeCell ref="E182:E187"/>
    <mergeCell ref="F182:F187"/>
    <mergeCell ref="G182:G187"/>
    <mergeCell ref="H182:H187"/>
    <mergeCell ref="D177:D181"/>
    <mergeCell ref="E177:E181"/>
    <mergeCell ref="F177:F181"/>
    <mergeCell ref="G177:G181"/>
    <mergeCell ref="H177:H181"/>
    <mergeCell ref="I177:I181"/>
    <mergeCell ref="D174:D176"/>
    <mergeCell ref="E174:E176"/>
    <mergeCell ref="F174:F176"/>
    <mergeCell ref="G174:G176"/>
    <mergeCell ref="H174:H176"/>
    <mergeCell ref="I174:I176"/>
    <mergeCell ref="I165:I170"/>
    <mergeCell ref="D171:D173"/>
    <mergeCell ref="E171:E173"/>
    <mergeCell ref="F171:F173"/>
    <mergeCell ref="G171:G173"/>
    <mergeCell ref="H171:H173"/>
    <mergeCell ref="I171:I173"/>
    <mergeCell ref="E157:E164"/>
    <mergeCell ref="F157:F164"/>
    <mergeCell ref="G157:G164"/>
    <mergeCell ref="H157:H164"/>
    <mergeCell ref="I157:I164"/>
    <mergeCell ref="D165:D170"/>
    <mergeCell ref="E165:E170"/>
    <mergeCell ref="F165:F170"/>
    <mergeCell ref="G165:G170"/>
    <mergeCell ref="H165:H170"/>
    <mergeCell ref="I151:I152"/>
    <mergeCell ref="B153:B330"/>
    <mergeCell ref="C153:C181"/>
    <mergeCell ref="D153:D156"/>
    <mergeCell ref="E153:E156"/>
    <mergeCell ref="F153:F156"/>
    <mergeCell ref="G153:G156"/>
    <mergeCell ref="H153:H156"/>
    <mergeCell ref="I153:I156"/>
    <mergeCell ref="D157:D164"/>
    <mergeCell ref="E146:E150"/>
    <mergeCell ref="F146:F150"/>
    <mergeCell ref="G146:G150"/>
    <mergeCell ref="H146:H150"/>
    <mergeCell ref="I146:I150"/>
    <mergeCell ref="D151:D152"/>
    <mergeCell ref="E151:E152"/>
    <mergeCell ref="F151:F152"/>
    <mergeCell ref="G151:G152"/>
    <mergeCell ref="H151:H152"/>
    <mergeCell ref="I137:I139"/>
    <mergeCell ref="B143:B152"/>
    <mergeCell ref="C143:C152"/>
    <mergeCell ref="D143:D145"/>
    <mergeCell ref="E143:E145"/>
    <mergeCell ref="F143:F145"/>
    <mergeCell ref="G143:G145"/>
    <mergeCell ref="H143:H145"/>
    <mergeCell ref="I143:I145"/>
    <mergeCell ref="D146:D150"/>
    <mergeCell ref="C135:C142"/>
    <mergeCell ref="D137:D139"/>
    <mergeCell ref="E137:E139"/>
    <mergeCell ref="F137:F139"/>
    <mergeCell ref="G137:G139"/>
    <mergeCell ref="H137:H139"/>
    <mergeCell ref="H126:H127"/>
    <mergeCell ref="I126:I127"/>
    <mergeCell ref="B129:B142"/>
    <mergeCell ref="C129:C134"/>
    <mergeCell ref="D129:D134"/>
    <mergeCell ref="E129:E134"/>
    <mergeCell ref="F129:F134"/>
    <mergeCell ref="G129:G134"/>
    <mergeCell ref="H129:H134"/>
    <mergeCell ref="I129:I134"/>
    <mergeCell ref="B125:B127"/>
    <mergeCell ref="C126:C127"/>
    <mergeCell ref="D126:D127"/>
    <mergeCell ref="E126:E127"/>
    <mergeCell ref="F126:F127"/>
    <mergeCell ref="G126:G127"/>
    <mergeCell ref="G121:G122"/>
    <mergeCell ref="H121:H122"/>
    <mergeCell ref="I121:I122"/>
    <mergeCell ref="D123:D124"/>
    <mergeCell ref="E123:E124"/>
    <mergeCell ref="F123:F124"/>
    <mergeCell ref="G123:G124"/>
    <mergeCell ref="H123:H124"/>
    <mergeCell ref="I123:I124"/>
    <mergeCell ref="C117:C120"/>
    <mergeCell ref="B121:B124"/>
    <mergeCell ref="C121:C124"/>
    <mergeCell ref="D121:D122"/>
    <mergeCell ref="E121:E122"/>
    <mergeCell ref="F121:F122"/>
    <mergeCell ref="H100:H111"/>
    <mergeCell ref="I100:I111"/>
    <mergeCell ref="C112:C116"/>
    <mergeCell ref="D113:D116"/>
    <mergeCell ref="E113:E116"/>
    <mergeCell ref="F113:F116"/>
    <mergeCell ref="G113:G116"/>
    <mergeCell ref="H113:H116"/>
    <mergeCell ref="I113:I116"/>
    <mergeCell ref="I94:I95"/>
    <mergeCell ref="D96:D99"/>
    <mergeCell ref="E96:E99"/>
    <mergeCell ref="F96:F99"/>
    <mergeCell ref="G96:G99"/>
    <mergeCell ref="H96:H99"/>
    <mergeCell ref="I96:I99"/>
    <mergeCell ref="C93:C111"/>
    <mergeCell ref="D94:D95"/>
    <mergeCell ref="E94:E95"/>
    <mergeCell ref="F94:F95"/>
    <mergeCell ref="G94:G95"/>
    <mergeCell ref="H94:H95"/>
    <mergeCell ref="D100:D111"/>
    <mergeCell ref="E100:E111"/>
    <mergeCell ref="F100:F111"/>
    <mergeCell ref="G100:G111"/>
    <mergeCell ref="H81:H84"/>
    <mergeCell ref="I81:I84"/>
    <mergeCell ref="C85:C92"/>
    <mergeCell ref="D85:D92"/>
    <mergeCell ref="E85:E92"/>
    <mergeCell ref="F85:F92"/>
    <mergeCell ref="G85:G92"/>
    <mergeCell ref="H85:H92"/>
    <mergeCell ref="I85:I92"/>
    <mergeCell ref="I51:I54"/>
    <mergeCell ref="D55:D79"/>
    <mergeCell ref="E55:E79"/>
    <mergeCell ref="F55:F79"/>
    <mergeCell ref="G55:G79"/>
    <mergeCell ref="H55:H79"/>
    <mergeCell ref="I55:I79"/>
    <mergeCell ref="C51:C84"/>
    <mergeCell ref="D51:D54"/>
    <mergeCell ref="E51:E54"/>
    <mergeCell ref="F51:F54"/>
    <mergeCell ref="G51:G54"/>
    <mergeCell ref="H51:H54"/>
    <mergeCell ref="D81:D84"/>
    <mergeCell ref="E81:E84"/>
    <mergeCell ref="F81:F84"/>
    <mergeCell ref="G81:G84"/>
    <mergeCell ref="I44:I47"/>
    <mergeCell ref="C49:C50"/>
    <mergeCell ref="D49:D50"/>
    <mergeCell ref="E49:E50"/>
    <mergeCell ref="F49:F50"/>
    <mergeCell ref="G49:G50"/>
    <mergeCell ref="H49:H50"/>
    <mergeCell ref="I49:I50"/>
    <mergeCell ref="C44:C47"/>
    <mergeCell ref="D44:D47"/>
    <mergeCell ref="E44:E47"/>
    <mergeCell ref="F44:F47"/>
    <mergeCell ref="G44:G47"/>
    <mergeCell ref="H44:H47"/>
    <mergeCell ref="I30:I33"/>
    <mergeCell ref="D34:D43"/>
    <mergeCell ref="E34:E43"/>
    <mergeCell ref="F34:F43"/>
    <mergeCell ref="G34:G43"/>
    <mergeCell ref="H34:H43"/>
    <mergeCell ref="I34:I43"/>
    <mergeCell ref="C30:C43"/>
    <mergeCell ref="D30:D33"/>
    <mergeCell ref="E30:E33"/>
    <mergeCell ref="F30:F33"/>
    <mergeCell ref="G30:G33"/>
    <mergeCell ref="H30:H33"/>
    <mergeCell ref="I15:I17"/>
    <mergeCell ref="D18:D29"/>
    <mergeCell ref="E18:E29"/>
    <mergeCell ref="F18:F29"/>
    <mergeCell ref="G18:G29"/>
    <mergeCell ref="H18:H29"/>
    <mergeCell ref="I18:I29"/>
    <mergeCell ref="C15:C29"/>
    <mergeCell ref="D15:D17"/>
    <mergeCell ref="E15:E17"/>
    <mergeCell ref="F15:F17"/>
    <mergeCell ref="G15:G17"/>
    <mergeCell ref="H15:H17"/>
    <mergeCell ref="D11:D12"/>
    <mergeCell ref="E11:E12"/>
    <mergeCell ref="F11:F12"/>
    <mergeCell ref="G11:G12"/>
    <mergeCell ref="H11:H12"/>
    <mergeCell ref="I11:I12"/>
    <mergeCell ref="O5:O6"/>
    <mergeCell ref="A7:A544"/>
    <mergeCell ref="B8:B120"/>
    <mergeCell ref="C8:C13"/>
    <mergeCell ref="D8:D10"/>
    <mergeCell ref="E8:E10"/>
    <mergeCell ref="F8:F10"/>
    <mergeCell ref="G8:G10"/>
    <mergeCell ref="H8:H10"/>
    <mergeCell ref="I8:I10"/>
    <mergeCell ref="G5:G6"/>
    <mergeCell ref="H5:H6"/>
    <mergeCell ref="I5:I6"/>
    <mergeCell ref="J5:J6"/>
    <mergeCell ref="K5:K6"/>
    <mergeCell ref="L5:N5"/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2026-09-07T05:39:57Z</dcterms:created>
  <dcterms:modified xsi:type="dcterms:W3CDTF">2026-09-07T05:40:38Z</dcterms:modified>
</cp:coreProperties>
</file>