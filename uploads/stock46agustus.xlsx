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6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3" i="1" l="1"/>
  <c r="Q193" i="1" s="1"/>
  <c r="Q192" i="1"/>
  <c r="P192" i="1"/>
  <c r="P191" i="1"/>
  <c r="Q191" i="1" s="1"/>
  <c r="P190" i="1"/>
  <c r="Q190" i="1" s="1"/>
  <c r="Q189" i="1"/>
  <c r="P189" i="1"/>
  <c r="P188" i="1"/>
  <c r="Q188" i="1" s="1"/>
  <c r="P187" i="1"/>
  <c r="Q187" i="1" s="1"/>
  <c r="Q186" i="1"/>
  <c r="P186" i="1"/>
  <c r="P185" i="1"/>
  <c r="Q185" i="1" s="1"/>
  <c r="P184" i="1"/>
  <c r="Q184" i="1" s="1"/>
  <c r="Q183" i="1"/>
  <c r="P183" i="1"/>
  <c r="P182" i="1"/>
  <c r="Q182" i="1" s="1"/>
  <c r="P181" i="1"/>
  <c r="Q181" i="1" s="1"/>
  <c r="Q180" i="1"/>
  <c r="P180" i="1"/>
  <c r="P179" i="1"/>
  <c r="Q179" i="1" s="1"/>
  <c r="P178" i="1"/>
  <c r="Q178" i="1" s="1"/>
  <c r="Q177" i="1"/>
  <c r="P177" i="1"/>
  <c r="P176" i="1"/>
  <c r="Q176" i="1" s="1"/>
  <c r="P175" i="1"/>
  <c r="Q175" i="1" s="1"/>
  <c r="Q174" i="1"/>
  <c r="P174" i="1"/>
  <c r="P173" i="1"/>
  <c r="Q173" i="1" s="1"/>
  <c r="P172" i="1"/>
  <c r="Q172" i="1" s="1"/>
  <c r="Q171" i="1"/>
  <c r="P171" i="1"/>
  <c r="P170" i="1"/>
  <c r="Q170" i="1" s="1"/>
  <c r="P169" i="1"/>
  <c r="Q169" i="1" s="1"/>
  <c r="Q168" i="1"/>
  <c r="P168" i="1"/>
  <c r="P167" i="1"/>
  <c r="Q167" i="1" s="1"/>
  <c r="P166" i="1"/>
  <c r="Q166" i="1" s="1"/>
  <c r="Q165" i="1"/>
  <c r="P165" i="1"/>
  <c r="P164" i="1"/>
  <c r="Q164" i="1" s="1"/>
  <c r="P163" i="1"/>
  <c r="Q163" i="1" s="1"/>
  <c r="Q162" i="1"/>
  <c r="P162" i="1"/>
  <c r="P161" i="1"/>
  <c r="Q161" i="1" s="1"/>
  <c r="P160" i="1"/>
  <c r="Q160" i="1" s="1"/>
  <c r="Q159" i="1"/>
  <c r="P159" i="1"/>
  <c r="P158" i="1"/>
  <c r="Q158" i="1" s="1"/>
  <c r="P157" i="1"/>
  <c r="Q157" i="1" s="1"/>
  <c r="Q156" i="1"/>
  <c r="P156" i="1"/>
  <c r="P155" i="1"/>
  <c r="Q155" i="1" s="1"/>
  <c r="P154" i="1"/>
  <c r="Q154" i="1" s="1"/>
  <c r="Q153" i="1"/>
  <c r="P153" i="1"/>
  <c r="P152" i="1"/>
  <c r="Q152" i="1" s="1"/>
  <c r="P151" i="1"/>
  <c r="Q151" i="1" s="1"/>
  <c r="Q150" i="1"/>
  <c r="P150" i="1"/>
  <c r="P149" i="1"/>
  <c r="Q149" i="1" s="1"/>
  <c r="P148" i="1"/>
  <c r="Q148" i="1" s="1"/>
  <c r="Q147" i="1"/>
  <c r="P147" i="1"/>
  <c r="P146" i="1"/>
  <c r="Q146" i="1" s="1"/>
  <c r="P145" i="1"/>
  <c r="Q145" i="1" s="1"/>
  <c r="Q144" i="1"/>
  <c r="P144" i="1"/>
  <c r="P143" i="1"/>
  <c r="Q143" i="1" s="1"/>
  <c r="P142" i="1"/>
  <c r="Q142" i="1" s="1"/>
  <c r="Q141" i="1"/>
  <c r="P141" i="1"/>
  <c r="P140" i="1"/>
  <c r="Q140" i="1" s="1"/>
  <c r="P139" i="1"/>
  <c r="Q139" i="1" s="1"/>
  <c r="Q138" i="1"/>
  <c r="P138" i="1"/>
  <c r="P137" i="1"/>
  <c r="Q137" i="1" s="1"/>
  <c r="P136" i="1"/>
  <c r="Q136" i="1" s="1"/>
  <c r="Q135" i="1"/>
  <c r="P135" i="1"/>
  <c r="P134" i="1"/>
  <c r="Q134" i="1" s="1"/>
  <c r="P133" i="1"/>
  <c r="Q133" i="1" s="1"/>
  <c r="Q132" i="1"/>
  <c r="P132" i="1"/>
  <c r="P131" i="1"/>
  <c r="Q131" i="1" s="1"/>
  <c r="P130" i="1"/>
  <c r="Q130" i="1" s="1"/>
  <c r="Q129" i="1"/>
  <c r="P129" i="1"/>
  <c r="P128" i="1"/>
  <c r="Q128" i="1" s="1"/>
  <c r="P127" i="1"/>
  <c r="Q127" i="1" s="1"/>
  <c r="P126" i="1"/>
  <c r="Q126" i="1" s="1"/>
  <c r="P125" i="1"/>
  <c r="Q125" i="1" s="1"/>
  <c r="P124" i="1"/>
  <c r="Q124" i="1" s="1"/>
  <c r="Q123" i="1"/>
  <c r="P123" i="1"/>
  <c r="P122" i="1"/>
  <c r="Q122" i="1" s="1"/>
  <c r="P121" i="1"/>
  <c r="Q121" i="1" s="1"/>
  <c r="Q120" i="1"/>
  <c r="P120" i="1"/>
  <c r="P119" i="1"/>
  <c r="Q119" i="1" s="1"/>
  <c r="P118" i="1"/>
  <c r="Q118" i="1" s="1"/>
  <c r="Q117" i="1"/>
  <c r="P117" i="1"/>
  <c r="P116" i="1"/>
  <c r="Q116" i="1" s="1"/>
  <c r="P115" i="1"/>
  <c r="Q115" i="1" s="1"/>
  <c r="P114" i="1"/>
  <c r="Q114" i="1" s="1"/>
  <c r="P113" i="1"/>
  <c r="Q113" i="1" s="1"/>
  <c r="P112" i="1"/>
  <c r="Q112" i="1" s="1"/>
  <c r="Q111" i="1"/>
  <c r="P111" i="1"/>
  <c r="P110" i="1"/>
  <c r="Q110" i="1" s="1"/>
  <c r="P109" i="1"/>
  <c r="Q109" i="1" s="1"/>
  <c r="P108" i="1"/>
  <c r="Q108" i="1" s="1"/>
  <c r="P107" i="1"/>
  <c r="Q107" i="1" s="1"/>
  <c r="P106" i="1"/>
  <c r="Q106" i="1" s="1"/>
  <c r="Q105" i="1"/>
  <c r="P105" i="1"/>
  <c r="P104" i="1"/>
  <c r="Q104" i="1" s="1"/>
  <c r="P103" i="1"/>
  <c r="Q103" i="1" s="1"/>
  <c r="P102" i="1"/>
  <c r="Q102" i="1" s="1"/>
  <c r="P101" i="1"/>
  <c r="Q101" i="1" s="1"/>
  <c r="P100" i="1"/>
  <c r="Q100" i="1" s="1"/>
  <c r="Q99" i="1"/>
  <c r="P99" i="1"/>
  <c r="P98" i="1"/>
  <c r="Q98" i="1" s="1"/>
  <c r="P97" i="1"/>
  <c r="Q97" i="1" s="1"/>
  <c r="P96" i="1"/>
  <c r="Q96" i="1" s="1"/>
  <c r="P95" i="1"/>
  <c r="Q95" i="1" s="1"/>
  <c r="P94" i="1"/>
  <c r="Q94" i="1" s="1"/>
  <c r="Q93" i="1"/>
  <c r="P93" i="1"/>
  <c r="P92" i="1"/>
  <c r="Q92" i="1" s="1"/>
  <c r="P91" i="1"/>
  <c r="Q91" i="1" s="1"/>
  <c r="P90" i="1"/>
  <c r="Q90" i="1" s="1"/>
  <c r="P89" i="1"/>
  <c r="Q89" i="1" s="1"/>
  <c r="P88" i="1"/>
  <c r="Q88" i="1" s="1"/>
  <c r="Q87" i="1"/>
  <c r="P87" i="1"/>
  <c r="P86" i="1"/>
  <c r="Q86" i="1" s="1"/>
  <c r="P85" i="1"/>
  <c r="Q85" i="1" s="1"/>
  <c r="P84" i="1"/>
  <c r="Q84" i="1" s="1"/>
  <c r="P83" i="1"/>
  <c r="Q83" i="1" s="1"/>
  <c r="P82" i="1"/>
  <c r="Q82" i="1" s="1"/>
  <c r="Q81" i="1"/>
  <c r="P81" i="1"/>
  <c r="P80" i="1"/>
  <c r="Q80" i="1" s="1"/>
  <c r="P79" i="1"/>
  <c r="Q79" i="1" s="1"/>
  <c r="P78" i="1"/>
  <c r="Q78" i="1" s="1"/>
  <c r="P77" i="1"/>
  <c r="Q77" i="1" s="1"/>
  <c r="P76" i="1"/>
  <c r="Q76" i="1" s="1"/>
  <c r="Q75" i="1"/>
  <c r="P75" i="1"/>
  <c r="P74" i="1"/>
  <c r="Q74" i="1" s="1"/>
  <c r="P73" i="1"/>
  <c r="Q73" i="1" s="1"/>
  <c r="P72" i="1"/>
  <c r="Q72" i="1" s="1"/>
  <c r="P71" i="1"/>
  <c r="Q71" i="1" s="1"/>
  <c r="P70" i="1"/>
  <c r="Q70" i="1" s="1"/>
  <c r="Q69" i="1"/>
  <c r="P69" i="1"/>
  <c r="P68" i="1"/>
  <c r="Q68" i="1" s="1"/>
  <c r="P67" i="1"/>
  <c r="Q67" i="1" s="1"/>
  <c r="Q66" i="1"/>
  <c r="P66" i="1"/>
  <c r="P65" i="1"/>
  <c r="Q65" i="1" s="1"/>
  <c r="P64" i="1"/>
  <c r="Q64" i="1" s="1"/>
  <c r="Q63" i="1"/>
  <c r="P63" i="1"/>
  <c r="P62" i="1"/>
  <c r="Q62" i="1" s="1"/>
  <c r="P61" i="1"/>
  <c r="Q61" i="1" s="1"/>
  <c r="P60" i="1"/>
  <c r="Q60" i="1" s="1"/>
  <c r="P59" i="1"/>
  <c r="Q59" i="1" s="1"/>
  <c r="P58" i="1"/>
  <c r="Q58" i="1" s="1"/>
  <c r="Q57" i="1"/>
  <c r="P57" i="1"/>
  <c r="P56" i="1"/>
  <c r="Q56" i="1" s="1"/>
  <c r="P55" i="1"/>
  <c r="Q55" i="1" s="1"/>
  <c r="P54" i="1"/>
  <c r="Q54" i="1" s="1"/>
  <c r="P53" i="1"/>
  <c r="Q53" i="1" s="1"/>
  <c r="P52" i="1"/>
  <c r="Q52" i="1" s="1"/>
  <c r="Q51" i="1"/>
  <c r="P51" i="1"/>
  <c r="P50" i="1"/>
  <c r="Q50" i="1" s="1"/>
  <c r="P49" i="1"/>
  <c r="Q49" i="1" s="1"/>
  <c r="Q48" i="1"/>
  <c r="P48" i="1"/>
  <c r="P47" i="1"/>
  <c r="Q47" i="1" s="1"/>
  <c r="P46" i="1"/>
  <c r="Q46" i="1" s="1"/>
  <c r="Q45" i="1"/>
  <c r="P45" i="1"/>
  <c r="P44" i="1"/>
  <c r="Q44" i="1" s="1"/>
  <c r="P43" i="1"/>
  <c r="Q43" i="1" s="1"/>
  <c r="P42" i="1"/>
  <c r="Q42" i="1" s="1"/>
  <c r="P41" i="1"/>
  <c r="Q41" i="1" s="1"/>
  <c r="P40" i="1"/>
  <c r="Q40" i="1" s="1"/>
  <c r="Q39" i="1"/>
  <c r="P39" i="1"/>
  <c r="P38" i="1"/>
  <c r="Q38" i="1" s="1"/>
  <c r="P37" i="1"/>
  <c r="Q37" i="1" s="1"/>
  <c r="P36" i="1"/>
  <c r="Q36" i="1" s="1"/>
  <c r="P35" i="1"/>
  <c r="Q35" i="1" s="1"/>
  <c r="P34" i="1"/>
  <c r="Q34" i="1" s="1"/>
  <c r="Q33" i="1"/>
  <c r="P33" i="1"/>
  <c r="P32" i="1"/>
  <c r="Q32" i="1" s="1"/>
  <c r="P31" i="1"/>
  <c r="Q31" i="1" s="1"/>
  <c r="Q30" i="1"/>
  <c r="P30" i="1"/>
  <c r="P29" i="1"/>
  <c r="Q29" i="1" s="1"/>
  <c r="P28" i="1"/>
  <c r="Q28" i="1" s="1"/>
  <c r="Q27" i="1"/>
  <c r="P27" i="1"/>
  <c r="P26" i="1"/>
  <c r="Q26" i="1" s="1"/>
  <c r="P25" i="1"/>
  <c r="Q25" i="1" s="1"/>
  <c r="P24" i="1"/>
  <c r="Q24" i="1" s="1"/>
  <c r="P23" i="1"/>
  <c r="Q23" i="1" s="1"/>
  <c r="P22" i="1"/>
  <c r="Q22" i="1" s="1"/>
  <c r="Q21" i="1"/>
  <c r="P21" i="1"/>
  <c r="P20" i="1"/>
  <c r="Q20" i="1" s="1"/>
  <c r="P19" i="1"/>
  <c r="Q19" i="1" s="1"/>
  <c r="P18" i="1"/>
  <c r="Q18" i="1" s="1"/>
  <c r="P17" i="1"/>
  <c r="Q17" i="1" s="1"/>
  <c r="P16" i="1"/>
  <c r="Q16" i="1" s="1"/>
  <c r="Q15" i="1"/>
  <c r="P15" i="1"/>
  <c r="P14" i="1"/>
  <c r="Q14" i="1" s="1"/>
  <c r="P13" i="1"/>
  <c r="Q13" i="1" s="1"/>
  <c r="P12" i="1"/>
  <c r="Q12" i="1" s="1"/>
  <c r="P11" i="1"/>
  <c r="Q11" i="1" s="1"/>
  <c r="P10" i="1"/>
  <c r="Q10" i="1" s="1"/>
  <c r="Q9" i="1"/>
  <c r="P9" i="1"/>
  <c r="P8" i="1"/>
  <c r="Q8" i="1" s="1"/>
  <c r="P7" i="1"/>
  <c r="Q7" i="1" s="1"/>
  <c r="P6" i="1"/>
  <c r="Q6" i="1" s="1"/>
  <c r="P5" i="1"/>
  <c r="Q5" i="1" s="1"/>
  <c r="P4" i="1"/>
  <c r="Q4" i="1" s="1"/>
  <c r="Q3" i="1"/>
  <c r="P3" i="1"/>
  <c r="Q1" i="1" l="1"/>
</calcChain>
</file>

<file path=xl/sharedStrings.xml><?xml version="1.0" encoding="utf-8"?>
<sst xmlns="http://schemas.openxmlformats.org/spreadsheetml/2006/main" count="1927" uniqueCount="407">
  <si>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</si>
  <si>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</si>
  <si>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</si>
  <si>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</si>
  <si>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</si>
  <si>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</si>
  <si>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</si>
  <si>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</si>
  <si>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</si>
  <si>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</si>
  <si>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</si>
  <si>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</si>
  <si>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</si>
  <si>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</si>
  <si>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</si>
  <si>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konversi pcs</t>
  </si>
  <si>
    <t>Stok Global</t>
  </si>
  <si>
    <t>010</t>
  </si>
  <si>
    <t>PT. GADING PURI PERKASA</t>
  </si>
  <si>
    <t>31-Aug-26</t>
  </si>
  <si>
    <t>0101</t>
  </si>
  <si>
    <t>008</t>
  </si>
  <si>
    <t>Joenoes Ika Mulya</t>
  </si>
  <si>
    <t>07</t>
  </si>
  <si>
    <t>YURI</t>
  </si>
  <si>
    <t>08070804310015</t>
  </si>
  <si>
    <t>AGANOL (FLORAL) BOTTLE 1000 ML</t>
  </si>
  <si>
    <t>08070804310035</t>
  </si>
  <si>
    <t>AGANOL (FLORAL) JRG 3.7 LT</t>
  </si>
  <si>
    <t>08070804310005</t>
  </si>
  <si>
    <t>AGANOL (FLORAL) POUCH 600 ML</t>
  </si>
  <si>
    <t>08070804310014</t>
  </si>
  <si>
    <t>AGANOL (LAV) BOTTLE 1000 ML</t>
  </si>
  <si>
    <t>08070804310024</t>
  </si>
  <si>
    <t>AGANOL (LAV) BOTTLE 2000 ML</t>
  </si>
  <si>
    <t>08070804310034</t>
  </si>
  <si>
    <t>AGANOL (LAV) JRG 3.7 LT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</si>
  <si>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</si>
  <si>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</si>
  <si>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</si>
  <si>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</si>
  <si>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</si>
  <si>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</si>
  <si>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08070804310032</t>
  </si>
  <si>
    <t>AGANOL (LEMON) JRG 3.7 LT</t>
  </si>
  <si>
    <t>08070804310002</t>
  </si>
  <si>
    <t>AGANOL (LEMON) POUCH 600 ML</t>
  </si>
  <si>
    <t>08070804310013</t>
  </si>
  <si>
    <t>AGANOL (MORNING FRESH) BOTTLE 1000 ML</t>
  </si>
  <si>
    <t>08070804310023</t>
  </si>
  <si>
    <t>AGANOL (MORNING FRESH) BOTTLE 2000 ML</t>
  </si>
  <si>
    <t>08070804310033</t>
  </si>
  <si>
    <t>AGANOL (MORNING FRESH) JRG 3.7 LT</t>
  </si>
  <si>
    <t>08070804310003</t>
  </si>
  <si>
    <t>AGANOL (MORNING FRESH) POUCH 600 ML</t>
  </si>
  <si>
    <t>08070804310048</t>
  </si>
  <si>
    <t>AGANOL FLORAL/600ML BUY 1 GET 1</t>
  </si>
  <si>
    <t>08070801030062</t>
  </si>
  <si>
    <t>BABY DEE BABY CREAM POPOK (HONEY) TUBE 50 GR</t>
  </si>
  <si>
    <t>08070801030061</t>
  </si>
  <si>
    <t>BABY DEE BABY CREAM POPOK (MILK) TUBE 50 GR</t>
  </si>
  <si>
    <t>08070801030042</t>
  </si>
  <si>
    <t>BABY DEE BABY LOTION (HONEY) BOTTLE 100 ML</t>
  </si>
  <si>
    <t>08070801030041</t>
  </si>
  <si>
    <t>BABY DEE BABY LOTION (MILK) BOTTLE 100 ML</t>
  </si>
  <si>
    <t>08070801050021</t>
  </si>
  <si>
    <t>BABY DEE BODY WASH &amp; SHAMPOO (MILK) BOTTLE 200 ML</t>
  </si>
  <si>
    <t>08070801050033</t>
  </si>
  <si>
    <t xml:space="preserve">BABY DEE BW&amp;SHP NAT HONEY&amp;CHAMOMILE EXCTRACT FOAMING 12X600ML_x000D_
</t>
  </si>
  <si>
    <t>08070801050034</t>
  </si>
  <si>
    <t>BABY DEE BW&amp;SHP NAT MILK&amp;LAVENDER EXCTRACT FOAMING 12X600ML</t>
  </si>
  <si>
    <t>08070801050031</t>
  </si>
  <si>
    <t>BABY DEE BW&amp;SHP NAT MILK&amp;LAVENDER EXCTRACT FOAMING 600ML (FREE 200ML)</t>
  </si>
  <si>
    <t>08070801290031</t>
  </si>
  <si>
    <t>BABY DEE TALCUM POWDER (MILK) BOTTLE 200 GR</t>
  </si>
  <si>
    <t>08070801220021</t>
  </si>
  <si>
    <t>BABY DEE TOILETRIES PACK (MILK)</t>
  </si>
  <si>
    <t>08070801220022</t>
  </si>
  <si>
    <t>BABY DEE TRAVEL PACK (MILK)</t>
  </si>
  <si>
    <t>08070801220024</t>
  </si>
  <si>
    <t>BABY DEE TRAVEL PACK HONEY</t>
  </si>
  <si>
    <t>08070804160002</t>
  </si>
  <si>
    <t>BABY SOFT BOTTLE 1000 ML</t>
  </si>
  <si>
    <t>08070804160003</t>
  </si>
  <si>
    <t>BABY SOFT JRG 3.7 LT</t>
  </si>
  <si>
    <t>08070804160001</t>
  </si>
  <si>
    <t>BABY SOFT POUCH 410 ML</t>
  </si>
  <si>
    <t>08070801030072</t>
  </si>
  <si>
    <t>BABYDEE DIAPER CREAM HONEY &amp; CHAMOMILE TUBE 24X100GR</t>
  </si>
  <si>
    <t>08070804160036</t>
  </si>
  <si>
    <t>BIOSOFT BOTTLE 375 ML</t>
  </si>
  <si>
    <t>08070804160151</t>
  </si>
  <si>
    <t>BIOSOFT HIJAB DETERJEN+SOFTENER OF 12X630 ML PCH</t>
  </si>
  <si>
    <t>08070804160141</t>
  </si>
  <si>
    <t>BIOSOFT HIJAB DETERJEN+SOFTENER OF 12X900 ML BTL</t>
  </si>
  <si>
    <t>08070804160161</t>
  </si>
  <si>
    <t>BIOSOFT HIJAB PELICIN OF 12X500ML BTL SPRAY</t>
  </si>
  <si>
    <t>08070804160162</t>
  </si>
  <si>
    <t>BIOSOFT HIJAB PELICIN OF 24X410ML REF PCH</t>
  </si>
  <si>
    <t>08070804160152</t>
  </si>
  <si>
    <t>BIOSOFT HIJAB PEWANGI+SOFTENER OF 12X630 ML PCH</t>
  </si>
  <si>
    <t>08070804160142</t>
  </si>
  <si>
    <t>BIOSOFT HIJAB PEWANGI+SOFTENER OF 12X900 ML BTL</t>
  </si>
  <si>
    <t>08070804160038</t>
  </si>
  <si>
    <t>BIOSOFT JRG 3.7 LT</t>
  </si>
  <si>
    <t>08070804160032</t>
  </si>
  <si>
    <t>BLEACH (LF) JRG 3.7 LT</t>
  </si>
  <si>
    <t>08070802120078</t>
  </si>
  <si>
    <t>DEE DEE SHAMPOO APPLE POUCH 24X200ML / BELI 1 GRATIS 1</t>
  </si>
  <si>
    <t>08070802120079</t>
  </si>
  <si>
    <t>DEE DEE SHAMPOO ORANGE POUCH 24X200ML / BELI 1 GRATIS 1</t>
  </si>
  <si>
    <t>08070802120080</t>
  </si>
  <si>
    <t>DEE DEE SHAMPOO STRAWBERRY POUCH 24X200ML / BELI 1 GRATIS 1</t>
  </si>
  <si>
    <t>08070802220006</t>
  </si>
  <si>
    <t>DEE DEE SIKAT GIGI (TRAY) MIX</t>
  </si>
  <si>
    <t>08070802280071</t>
  </si>
  <si>
    <t>DEE- DEE SHOWER FOAMING (APPLE) 225 ML</t>
  </si>
  <si>
    <t>08070802280072</t>
  </si>
  <si>
    <t>DEE- DEE SHOWER FOAMING (GRAPE) 225 ML</t>
  </si>
  <si>
    <t>08070802280073</t>
  </si>
  <si>
    <t>DEE- DEE SHOWER FOAMING (ORG) 225 ML</t>
  </si>
  <si>
    <t>08070802280074</t>
  </si>
  <si>
    <t>DEE- DEE SHOWER FOAMING (STRAW) 225 ML</t>
  </si>
  <si>
    <t>08070802280041</t>
  </si>
  <si>
    <t>DEE-DEE BODY WASH (APPLE)  BOTTLE REFILL 225 ML</t>
  </si>
  <si>
    <t>08070802280031</t>
  </si>
  <si>
    <t>DEE-DEE BODY WASH (APPLE) POUCH 200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</si>
  <si>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</si>
  <si>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</si>
  <si>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</si>
  <si>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</si>
  <si>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</si>
  <si>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</si>
  <si>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</si>
  <si>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</si>
  <si>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</si>
  <si>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</si>
  <si>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08070802100021</t>
  </si>
  <si>
    <t>DEE-DEE FACIAL WASH (GRP) TUBE 100 GR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</si>
  <si>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</si>
  <si>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</si>
  <si>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</si>
  <si>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</si>
  <si>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</si>
  <si>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</si>
  <si>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</si>
  <si>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</si>
  <si>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08070802100013</t>
  </si>
  <si>
    <t>DEE-DEE FACIAL WASH (STR) TUBE TRAY 50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</si>
  <si>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</si>
  <si>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</si>
  <si>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</si>
  <si>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</si>
  <si>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</si>
  <si>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</si>
  <si>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</si>
  <si>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</si>
  <si>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</si>
  <si>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</si>
  <si>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</si>
  <si>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</si>
  <si>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</si>
  <si>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</si>
  <si>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</si>
  <si>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</si>
  <si>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</si>
  <si>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</si>
  <si>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</si>
  <si>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</si>
  <si>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08070802120066</t>
  </si>
  <si>
    <t>DEE-DEE SHAMPOO (GREAN TEA) FOR LONG HAIR 200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</si>
  <si>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</si>
  <si>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</si>
  <si>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</si>
  <si>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</si>
  <si>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</si>
  <si>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</si>
  <si>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</si>
  <si>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</si>
  <si>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</si>
  <si>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</si>
  <si>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</si>
  <si>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</si>
  <si>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</si>
  <si>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</si>
  <si>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</si>
  <si>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</si>
  <si>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</si>
  <si>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</si>
  <si>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</si>
  <si>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</si>
  <si>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08070802120064</t>
  </si>
  <si>
    <t>DEE-DEE SHAMPOO (ROSE) FOR LONG HAIR 200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</si>
  <si>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</si>
  <si>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</si>
  <si>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</si>
  <si>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</si>
  <si>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</si>
  <si>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</si>
  <si>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</si>
  <si>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</si>
  <si>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08070802120045</t>
  </si>
  <si>
    <t>DEE-DEE SHAMPOO (STR) REFILL 250 ML</t>
  </si>
  <si>
    <t>08070802290011</t>
  </si>
  <si>
    <t>DEE-DEE TALCUM POWDER (APPLE) BOTTLE 150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</si>
  <si>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</si>
  <si>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</si>
  <si>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</si>
  <si>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</si>
  <si>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</si>
  <si>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</si>
  <si>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</si>
  <si>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</si>
  <si>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</si>
  <si>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</si>
  <si>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</si>
  <si>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</si>
  <si>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08070802220003</t>
  </si>
  <si>
    <t>DEE-DEE TRAVEL PACK</t>
  </si>
  <si>
    <t>08070804160046</t>
  </si>
  <si>
    <t>GLASS CLEANER (FB) BOTTLE SPRAY 500 ML</t>
  </si>
  <si>
    <t>08070804160056</t>
  </si>
  <si>
    <t>GLASS CLEANER (FB) JRG 3.7 LT</t>
  </si>
  <si>
    <t>08070804160041</t>
  </si>
  <si>
    <t>GLASS CLEANER (FB) POUCH 410 ML</t>
  </si>
  <si>
    <t>08070804160048</t>
  </si>
  <si>
    <t>GLASS CLEANER (FL) BOTTLE SPRAY 500 ML</t>
  </si>
  <si>
    <t>08070804160043</t>
  </si>
  <si>
    <t>GLASS CLEANER (FL) POUCH 410 ML</t>
  </si>
  <si>
    <t>08070804160057</t>
  </si>
  <si>
    <t>GLASS CLEANER (LF) JRG 3.7 LT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</si>
  <si>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</si>
  <si>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</si>
  <si>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</si>
  <si>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</si>
  <si>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</si>
  <si>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</si>
  <si>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</si>
  <si>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</si>
  <si>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</si>
  <si>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</si>
  <si>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</si>
  <si>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</si>
  <si>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</si>
  <si>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</si>
  <si>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</si>
  <si>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</si>
  <si>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</si>
  <si>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</si>
  <si>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</si>
  <si>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</si>
  <si>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</si>
  <si>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</si>
  <si>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</si>
  <si>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</si>
  <si>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08070804130014</t>
  </si>
  <si>
    <t>HAND SOAP (ORG) PUMP 410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</si>
  <si>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</si>
  <si>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</si>
  <si>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</si>
  <si>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</si>
  <si>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</si>
  <si>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</si>
  <si>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</si>
  <si>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</si>
  <si>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</si>
  <si>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</si>
  <si>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08070804130046</t>
  </si>
  <si>
    <t>HAND SOAP PRE (ROSE) POUCH 375 ML</t>
  </si>
  <si>
    <t>08070804130051</t>
  </si>
  <si>
    <t>HAND SOAP PRE FOAMING (GREEN TEA) PUMP 410 ML</t>
  </si>
  <si>
    <t>08070804130057</t>
  </si>
  <si>
    <t>HAND SOAP PRE FOAMING (LAV) PUMP 410 ML</t>
  </si>
  <si>
    <t>08070804130056</t>
  </si>
  <si>
    <t>HAND SOAP PRE FOAMING (ROSE) PUMP 410 ML</t>
  </si>
  <si>
    <t>08070804160124</t>
  </si>
  <si>
    <t>LIGENT (BABY PUMP) 450ML+FREE</t>
  </si>
  <si>
    <t>08070804160106</t>
  </si>
  <si>
    <t>LIGENT (GRAPE FRUIT) BOTTLE 1000 ML</t>
  </si>
  <si>
    <t>08070804160107</t>
  </si>
  <si>
    <t>LIGENT (GRAPE FRUIT) JRG 3.7 LT</t>
  </si>
  <si>
    <t>08070804160108</t>
  </si>
  <si>
    <t>LIGENT (GRAPE FRUIT) POUCH 180 ML</t>
  </si>
  <si>
    <t>08070804160019</t>
  </si>
  <si>
    <t>LIGENT (GRAPE FRUIT) POUCH 600 ML FREE GIFT (SCAN 2X)</t>
  </si>
  <si>
    <t>08070804160105</t>
  </si>
  <si>
    <t>LIGENT (GRAPE FRUIT) POUCH 700 ML</t>
  </si>
  <si>
    <t>08070804160023</t>
  </si>
  <si>
    <t>LIGENT (LEMON &amp; BERGAMOT) 600ML BELI 1 GRATIS 1</t>
  </si>
  <si>
    <t>08070804160066</t>
  </si>
  <si>
    <t>LIGENT (LEMON) BOTTLE 1000 ML</t>
  </si>
  <si>
    <t>08070804160068</t>
  </si>
  <si>
    <t>LIGENT (LEMON) JRG 3.7 LT</t>
  </si>
  <si>
    <t>08070804160062</t>
  </si>
  <si>
    <t>LIGENT (LEMON) POUCH 180 ML</t>
  </si>
  <si>
    <t>08070804160064</t>
  </si>
  <si>
    <t>LIGENT (LEMON) POUCH 700 ML</t>
  </si>
  <si>
    <t>08070804160018</t>
  </si>
  <si>
    <t>LIGENT (LIME &amp; BERGAMOT) 600ML BELI 1 GRATIS 1</t>
  </si>
  <si>
    <t>08070804160065</t>
  </si>
  <si>
    <t>LIGENT (LIME) BOTTLE 1000 ML</t>
  </si>
  <si>
    <t>08070804160067</t>
  </si>
  <si>
    <t>LIGENT (LIME) JRG 3.7 LT</t>
  </si>
  <si>
    <t>08070804160061</t>
  </si>
  <si>
    <t>LIGENT (LIME) POUCH 180 ML</t>
  </si>
  <si>
    <t>08070804160063</t>
  </si>
  <si>
    <t>LIGENT (LIME) POUCH 700 ML</t>
  </si>
  <si>
    <t>08070804160125</t>
  </si>
  <si>
    <t>LIGENT BABY POUCH 410ML</t>
  </si>
  <si>
    <t>08070804310053</t>
  </si>
  <si>
    <t>LYSORIN 630 ML</t>
  </si>
  <si>
    <t>08070804310051</t>
  </si>
  <si>
    <t>LYSORIN BOTTLE 1000 ML</t>
  </si>
  <si>
    <t>08070804310052</t>
  </si>
  <si>
    <t>LYSORIN JRG 3.7 LT</t>
  </si>
  <si>
    <t>08070802220004</t>
  </si>
  <si>
    <t>PAKET BABY DEE TOILETRIS MIX PCS</t>
  </si>
  <si>
    <t>08070802220002</t>
  </si>
  <si>
    <t>PAKET DEE-DEE II / GIFT PACK</t>
  </si>
  <si>
    <t>08070802220001</t>
  </si>
  <si>
    <t>PAKET DEE-DEE TOILETRIES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</si>
  <si>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</si>
  <si>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</si>
  <si>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</si>
  <si>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</si>
  <si>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</si>
  <si>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</si>
  <si>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</si>
  <si>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</si>
  <si>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</si>
  <si>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</si>
  <si>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</si>
  <si>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</si>
  <si>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</si>
  <si>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</si>
  <si>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</si>
  <si>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</si>
  <si>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</si>
  <si>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</si>
  <si>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</si>
  <si>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</si>
  <si>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</si>
  <si>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</si>
  <si>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</si>
  <si>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</si>
  <si>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</si>
  <si>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</si>
  <si>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08070804150011</t>
  </si>
  <si>
    <t>TAF (LEMON LIME) JRG 3.7 LT</t>
  </si>
  <si>
    <t>08070804150024</t>
  </si>
  <si>
    <t>TAF BATHROOM CLEANER 375 ML</t>
  </si>
  <si>
    <t>08070804150004</t>
  </si>
  <si>
    <t>TAF BATHROOM CLEANER 500 ML</t>
  </si>
  <si>
    <t>08070804150023</t>
  </si>
  <si>
    <t>TAF KITCHEN CLEANER 375 ML</t>
  </si>
  <si>
    <t>08070804150003</t>
  </si>
  <si>
    <t>TAF KITCHEN CLEANER 500 ML</t>
  </si>
  <si>
    <t>08070804160090</t>
  </si>
  <si>
    <t>TRIL (FLORAL) POUCH 410 ML</t>
  </si>
  <si>
    <t>08070804160093</t>
  </si>
  <si>
    <t>TRIL (LAVENDER) POUCH 410 ML</t>
  </si>
  <si>
    <t>08070804160091</t>
  </si>
  <si>
    <t>TRIL (ROMANTIC BLUE) POUCH 410 ML</t>
  </si>
  <si>
    <t>08070804160201</t>
  </si>
  <si>
    <t>YURI DISINFECTANT SPRAY 12X500ML</t>
  </si>
  <si>
    <t>08070804160203</t>
  </si>
  <si>
    <t>YURI DISINFECTANT SPRAY PCH 24x410ML</t>
  </si>
  <si>
    <t>08070804130081</t>
  </si>
  <si>
    <t>YURI HAND SOAP APPLE 375ML (BUY 1 GET 1)</t>
  </si>
  <si>
    <t>08070804130082</t>
  </si>
  <si>
    <t>YURI HAND SOAP GRAPE 375ML (BUY 1 GET 1)</t>
  </si>
  <si>
    <t>08070804130083</t>
  </si>
  <si>
    <t>YURI HAND SOAP LEMON 375ML (BUY 1 GET 1)</t>
  </si>
  <si>
    <t>08070804130084</t>
  </si>
  <si>
    <t>YURI HAND SOAP ORANGE 375ML (BUY 1 GET 1)</t>
  </si>
  <si>
    <t>08070804130085</t>
  </si>
  <si>
    <t>YURI HAND SOAP STRAWBERRY 375ML (BUY 1 GET 1)</t>
  </si>
  <si>
    <t>08070804160211</t>
  </si>
  <si>
    <t>YURI LAUNDRY DISINFECTANT 24X410ML</t>
  </si>
  <si>
    <t>08070804160085</t>
  </si>
  <si>
    <t>YURI MATIC (FL) JRG 3.7 LT</t>
  </si>
  <si>
    <t>08070804160079</t>
  </si>
  <si>
    <t>YURI MATIC (FL) POUCH 1600 ML</t>
  </si>
  <si>
    <t>08070804160083</t>
  </si>
  <si>
    <t>YURI MATIC (RB) JRG 3.7 LT</t>
  </si>
  <si>
    <t>08070804160077</t>
  </si>
  <si>
    <t>YURI MATIC (RB) POUCH 1600 ML</t>
  </si>
  <si>
    <t>08070804160071</t>
  </si>
  <si>
    <t>YURI MATIC (RB) POUCH 630 ML</t>
  </si>
  <si>
    <t>08070804160075</t>
  </si>
  <si>
    <t>YURI MATIC (RP) BOTTLE 1000 ML</t>
  </si>
  <si>
    <t>08070804160084</t>
  </si>
  <si>
    <t>YURI MATIC (RP) JRG 3.7 LT</t>
  </si>
  <si>
    <t>08070804160078</t>
  </si>
  <si>
    <t>YURI MATIC (RP) POUCH 1600 ML</t>
  </si>
  <si>
    <t>08070804160072</t>
  </si>
  <si>
    <t>YURI MATIC (RP) POUCH 630 ML</t>
  </si>
  <si>
    <t>08070804160131</t>
  </si>
  <si>
    <t>YURI-SOFT FLORAL 12X630ML</t>
  </si>
  <si>
    <t>08070804160132</t>
  </si>
  <si>
    <t>YURI-SOFT LAVENDER 12X630ML</t>
  </si>
  <si>
    <t>08070804160133</t>
  </si>
  <si>
    <t>YURI-SOFT ROMANTIC 12X630ML</t>
  </si>
  <si>
    <t>08070804310094</t>
  </si>
  <si>
    <t>YURI-SOL (PINE ORIGINAL) BOTTLE 1000 ML</t>
  </si>
  <si>
    <t>08070804310092</t>
  </si>
  <si>
    <t>YURI-SOL (PINE ORIGINAL) POUCH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</si>
</sst>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3"/>
  <sheetViews>
    <sheetView tabSelected="1" workbookViewId="0">
      <selection sqref="A1:XFD1048576"/>
    </sheetView>
  </sheetViews>
  <sheetFormatPr defaultRowHeight="15" x14ac:dyDescent="0.25"/>
  <cols>
    <col min="1" max="1" width="4" bestFit="1" customWidth="1"/>
    <col min="2" max="2" width="7.42578125" bestFit="1" customWidth="1"/>
    <col min="3" max="3" width="24.7109375" bestFit="1" customWidth="1"/>
    <col min="4" max="4" width="9.85546875" bestFit="1" customWidth="1"/>
    <col min="5" max="5" width="8.140625" bestFit="1" customWidth="1"/>
    <col min="6" max="6" width="11.5703125" bestFit="1" customWidth="1"/>
    <col min="7" max="7" width="17.42578125" bestFit="1" customWidth="1"/>
    <col min="8" max="8" width="8.42578125" bestFit="1" customWidth="1"/>
    <col min="9" max="9" width="11.7109375" bestFit="1" customWidth="1"/>
    <col min="10" max="10" width="15.140625" bestFit="1" customWidth="1"/>
    <col min="11" max="11" width="75.85546875" bestFit="1" customWidth="1"/>
    <col min="12" max="12" width="8.42578125" bestFit="1" customWidth="1"/>
    <col min="13" max="13" width="8.5703125" bestFit="1" customWidth="1"/>
    <col min="14" max="14" width="10.28515625" bestFit="1" customWidth="1"/>
    <col min="15" max="15" width="8.5703125" bestFit="1" customWidth="1"/>
    <col min="16" max="16" width="11.85546875" bestFit="1" customWidth="1"/>
    <col min="17" max="17" width="11" bestFit="1" customWidth="1"/>
  </cols>
  <sheetData>
    <row r="1" spans="1:17" x14ac:dyDescent="0.25">
      <c r="Q1" s="1">
        <f>SUM(Q3:Q193)</f>
        <v>2716.8055555555547</v>
      </c>
    </row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5">
      <c r="A3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2</v>
      </c>
      <c r="M3">
        <v>4</v>
      </c>
      <c r="N3">
        <v>512820</v>
      </c>
      <c r="O3">
        <v>12</v>
      </c>
      <c r="P3" s="1">
        <f>M3/O3</f>
        <v>0.33333333333333331</v>
      </c>
      <c r="Q3" s="1">
        <f>L3+P3</f>
        <v>2.3333333333333335</v>
      </c>
    </row>
    <row r="4" spans="1:17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27</v>
      </c>
      <c r="K4" t="s">
        <v>28</v>
      </c>
      <c r="L4">
        <v>2</v>
      </c>
      <c r="M4">
        <v>2</v>
      </c>
      <c r="N4">
        <v>559440</v>
      </c>
      <c r="O4">
        <v>4</v>
      </c>
      <c r="P4" s="1">
        <f t="shared" ref="P4:P67" si="0">M4/O4</f>
        <v>0.5</v>
      </c>
      <c r="Q4" s="1">
        <f t="shared" ref="Q4:Q67" si="1">L4+P4</f>
        <v>2.5</v>
      </c>
    </row>
    <row r="5" spans="1:17" x14ac:dyDescent="0.25">
      <c r="A5">
        <v>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29</v>
      </c>
      <c r="K5" t="s">
        <v>30</v>
      </c>
      <c r="L5">
        <v>1</v>
      </c>
      <c r="M5">
        <v>5</v>
      </c>
      <c r="N5">
        <v>201909</v>
      </c>
      <c r="O5">
        <v>12</v>
      </c>
      <c r="P5" s="1">
        <f t="shared" si="0"/>
        <v>0.41666666666666669</v>
      </c>
      <c r="Q5" s="1">
        <f t="shared" si="1"/>
        <v>1.4166666666666667</v>
      </c>
    </row>
    <row r="6" spans="1:17" x14ac:dyDescent="0.25">
      <c r="A6">
        <v>4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31</v>
      </c>
      <c r="K6" t="s">
        <v>32</v>
      </c>
      <c r="L6">
        <v>0</v>
      </c>
      <c r="M6">
        <v>7</v>
      </c>
      <c r="N6">
        <v>128205</v>
      </c>
      <c r="O6">
        <v>12</v>
      </c>
      <c r="P6" s="1">
        <f t="shared" si="0"/>
        <v>0.58333333333333337</v>
      </c>
      <c r="Q6" s="1">
        <f t="shared" si="1"/>
        <v>0.58333333333333337</v>
      </c>
    </row>
    <row r="7" spans="1:17" x14ac:dyDescent="0.25">
      <c r="A7">
        <v>5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33</v>
      </c>
      <c r="K7" t="s">
        <v>34</v>
      </c>
      <c r="L7">
        <v>2</v>
      </c>
      <c r="M7">
        <v>3</v>
      </c>
      <c r="N7">
        <v>471195</v>
      </c>
      <c r="O7">
        <v>6</v>
      </c>
      <c r="P7" s="1">
        <f t="shared" si="0"/>
        <v>0.5</v>
      </c>
      <c r="Q7" s="1">
        <f t="shared" si="1"/>
        <v>2.5</v>
      </c>
    </row>
    <row r="8" spans="1:17" x14ac:dyDescent="0.25">
      <c r="A8">
        <v>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35</v>
      </c>
      <c r="K8" t="s">
        <v>36</v>
      </c>
      <c r="L8">
        <v>5</v>
      </c>
      <c r="M8">
        <v>1</v>
      </c>
      <c r="N8">
        <v>1174824</v>
      </c>
      <c r="O8">
        <v>4</v>
      </c>
      <c r="P8" s="1">
        <f t="shared" si="0"/>
        <v>0.25</v>
      </c>
      <c r="Q8" s="1">
        <f t="shared" si="1"/>
        <v>5.25</v>
      </c>
    </row>
    <row r="9" spans="1:17" x14ac:dyDescent="0.25">
      <c r="A9">
        <v>7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37</v>
      </c>
      <c r="K9" t="s">
        <v>38</v>
      </c>
      <c r="L9">
        <v>7</v>
      </c>
      <c r="M9">
        <v>1</v>
      </c>
      <c r="N9">
        <v>1009545</v>
      </c>
      <c r="O9">
        <v>12</v>
      </c>
      <c r="P9" s="1">
        <f t="shared" si="0"/>
        <v>8.3333333333333329E-2</v>
      </c>
      <c r="Q9" s="1">
        <f t="shared" si="1"/>
        <v>7.083333333333333</v>
      </c>
    </row>
    <row r="10" spans="1:17" x14ac:dyDescent="0.25">
      <c r="A10">
        <v>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39</v>
      </c>
      <c r="K10" t="s">
        <v>40</v>
      </c>
      <c r="L10">
        <v>0</v>
      </c>
      <c r="M10">
        <v>7</v>
      </c>
      <c r="N10">
        <v>128205</v>
      </c>
      <c r="O10">
        <v>12</v>
      </c>
      <c r="P10" s="1">
        <f t="shared" si="0"/>
        <v>0.58333333333333337</v>
      </c>
      <c r="Q10" s="1">
        <f t="shared" si="1"/>
        <v>0.58333333333333337</v>
      </c>
    </row>
    <row r="11" spans="1:17" x14ac:dyDescent="0.25">
      <c r="A11">
        <v>9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41</v>
      </c>
      <c r="K11" t="s">
        <v>42</v>
      </c>
      <c r="L11">
        <v>1</v>
      </c>
      <c r="M11">
        <v>3</v>
      </c>
      <c r="N11">
        <v>282717</v>
      </c>
      <c r="O11">
        <v>6</v>
      </c>
      <c r="P11" s="1">
        <f t="shared" si="0"/>
        <v>0.5</v>
      </c>
      <c r="Q11" s="1">
        <f t="shared" si="1"/>
        <v>1.5</v>
      </c>
    </row>
    <row r="12" spans="1:17" x14ac:dyDescent="0.25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43</v>
      </c>
      <c r="K12" t="s">
        <v>44</v>
      </c>
      <c r="L12">
        <v>6</v>
      </c>
      <c r="M12">
        <v>1</v>
      </c>
      <c r="N12">
        <v>1398600</v>
      </c>
      <c r="O12">
        <v>4</v>
      </c>
      <c r="P12" s="1">
        <f t="shared" si="0"/>
        <v>0.25</v>
      </c>
      <c r="Q12" s="1">
        <f t="shared" si="1"/>
        <v>6.25</v>
      </c>
    </row>
    <row r="13" spans="1:17" x14ac:dyDescent="0.25">
      <c r="A13">
        <v>11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45</v>
      </c>
      <c r="K13" t="s">
        <v>46</v>
      </c>
      <c r="L13">
        <v>1</v>
      </c>
      <c r="M13">
        <v>3</v>
      </c>
      <c r="N13">
        <v>178155</v>
      </c>
      <c r="O13">
        <v>12</v>
      </c>
      <c r="P13" s="1">
        <f t="shared" si="0"/>
        <v>0.25</v>
      </c>
      <c r="Q13" s="1">
        <f t="shared" si="1"/>
        <v>1.25</v>
      </c>
    </row>
    <row r="14" spans="1:17" x14ac:dyDescent="0.25">
      <c r="A14">
        <v>12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47</v>
      </c>
      <c r="K14" t="s">
        <v>48</v>
      </c>
      <c r="L14">
        <v>2</v>
      </c>
      <c r="M14">
        <v>6</v>
      </c>
      <c r="N14">
        <v>549450</v>
      </c>
      <c r="O14">
        <v>12</v>
      </c>
      <c r="P14" s="1">
        <f t="shared" si="0"/>
        <v>0.5</v>
      </c>
      <c r="Q14" s="1">
        <f t="shared" si="1"/>
        <v>2.5</v>
      </c>
    </row>
    <row r="15" spans="1:17" x14ac:dyDescent="0.25">
      <c r="A15">
        <v>13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49</v>
      </c>
      <c r="K15" t="s">
        <v>50</v>
      </c>
      <c r="L15">
        <v>0</v>
      </c>
      <c r="M15">
        <v>0</v>
      </c>
      <c r="N15">
        <v>0</v>
      </c>
      <c r="O15">
        <v>6</v>
      </c>
      <c r="P15" s="1">
        <f t="shared" si="0"/>
        <v>0</v>
      </c>
      <c r="Q15" s="1">
        <f t="shared" si="1"/>
        <v>0</v>
      </c>
    </row>
    <row r="16" spans="1:17" x14ac:dyDescent="0.25">
      <c r="A16">
        <v>14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51</v>
      </c>
      <c r="K16" t="s">
        <v>52</v>
      </c>
      <c r="L16">
        <v>2</v>
      </c>
      <c r="M16">
        <v>0</v>
      </c>
      <c r="N16">
        <v>447552</v>
      </c>
      <c r="O16">
        <v>4</v>
      </c>
      <c r="P16" s="1">
        <f t="shared" si="0"/>
        <v>0</v>
      </c>
      <c r="Q16" s="1">
        <f t="shared" si="1"/>
        <v>2</v>
      </c>
    </row>
    <row r="17" spans="1:17" x14ac:dyDescent="0.25">
      <c r="A17">
        <v>15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53</v>
      </c>
      <c r="K17" t="s">
        <v>54</v>
      </c>
      <c r="L17">
        <v>11</v>
      </c>
      <c r="M17">
        <v>4</v>
      </c>
      <c r="N17">
        <v>1615272</v>
      </c>
      <c r="O17">
        <v>12</v>
      </c>
      <c r="P17" s="1">
        <f t="shared" si="0"/>
        <v>0.33333333333333331</v>
      </c>
      <c r="Q17" s="1">
        <f t="shared" si="1"/>
        <v>11.333333333333334</v>
      </c>
    </row>
    <row r="18" spans="1:17" x14ac:dyDescent="0.25">
      <c r="A18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55</v>
      </c>
      <c r="K18" t="s">
        <v>56</v>
      </c>
      <c r="L18">
        <v>4</v>
      </c>
      <c r="M18">
        <v>8</v>
      </c>
      <c r="N18">
        <v>615384</v>
      </c>
      <c r="O18">
        <v>12</v>
      </c>
      <c r="P18" s="1">
        <f t="shared" si="0"/>
        <v>0.66666666666666663</v>
      </c>
      <c r="Q18" s="1">
        <f t="shared" si="1"/>
        <v>4.666666666666667</v>
      </c>
    </row>
    <row r="19" spans="1:17" x14ac:dyDescent="0.25">
      <c r="A19">
        <v>17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57</v>
      </c>
      <c r="K19" t="s">
        <v>58</v>
      </c>
      <c r="L19">
        <v>5</v>
      </c>
      <c r="M19">
        <v>7</v>
      </c>
      <c r="N19">
        <v>2100453</v>
      </c>
      <c r="O19">
        <v>24</v>
      </c>
      <c r="P19" s="1">
        <f t="shared" si="0"/>
        <v>0.29166666666666669</v>
      </c>
      <c r="Q19" s="1">
        <f t="shared" si="1"/>
        <v>5.291666666666667</v>
      </c>
    </row>
    <row r="20" spans="1:17" x14ac:dyDescent="0.25">
      <c r="A20">
        <v>18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59</v>
      </c>
      <c r="K20" t="s">
        <v>60</v>
      </c>
      <c r="L20">
        <v>4</v>
      </c>
      <c r="M20">
        <v>20</v>
      </c>
      <c r="N20">
        <v>1918524</v>
      </c>
      <c r="O20">
        <v>24</v>
      </c>
      <c r="P20" s="1">
        <f t="shared" si="0"/>
        <v>0.83333333333333337</v>
      </c>
      <c r="Q20" s="1">
        <f t="shared" si="1"/>
        <v>4.833333333333333</v>
      </c>
    </row>
    <row r="21" spans="1:17" x14ac:dyDescent="0.25">
      <c r="A21">
        <v>19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61</v>
      </c>
      <c r="K21" t="s">
        <v>62</v>
      </c>
      <c r="L21">
        <v>3</v>
      </c>
      <c r="M21">
        <v>9</v>
      </c>
      <c r="N21">
        <v>604395</v>
      </c>
      <c r="O21">
        <v>12</v>
      </c>
      <c r="P21" s="1">
        <f t="shared" si="0"/>
        <v>0.75</v>
      </c>
      <c r="Q21" s="1">
        <f t="shared" si="1"/>
        <v>3.75</v>
      </c>
    </row>
    <row r="22" spans="1:17" x14ac:dyDescent="0.25">
      <c r="A22">
        <v>20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63</v>
      </c>
      <c r="K22" t="s">
        <v>64</v>
      </c>
      <c r="L22">
        <v>2</v>
      </c>
      <c r="M22">
        <v>6</v>
      </c>
      <c r="N22">
        <v>402930</v>
      </c>
      <c r="O22">
        <v>12</v>
      </c>
      <c r="P22" s="1">
        <f t="shared" si="0"/>
        <v>0.5</v>
      </c>
      <c r="Q22" s="1">
        <f t="shared" si="1"/>
        <v>2.5</v>
      </c>
    </row>
    <row r="23" spans="1:17" x14ac:dyDescent="0.25">
      <c r="A23">
        <v>21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65</v>
      </c>
      <c r="K23" t="s">
        <v>66</v>
      </c>
      <c r="L23">
        <v>0</v>
      </c>
      <c r="M23">
        <v>1</v>
      </c>
      <c r="N23">
        <v>19980</v>
      </c>
      <c r="O23">
        <v>12</v>
      </c>
      <c r="P23" s="1">
        <f t="shared" si="0"/>
        <v>8.3333333333333329E-2</v>
      </c>
      <c r="Q23" s="1">
        <f t="shared" si="1"/>
        <v>8.3333333333333329E-2</v>
      </c>
    </row>
    <row r="24" spans="1:17" x14ac:dyDescent="0.25">
      <c r="A24">
        <v>22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67</v>
      </c>
      <c r="K24" t="s">
        <v>68</v>
      </c>
      <c r="L24">
        <v>0</v>
      </c>
      <c r="M24">
        <v>9</v>
      </c>
      <c r="N24">
        <v>360639</v>
      </c>
      <c r="O24">
        <v>12</v>
      </c>
      <c r="P24" s="1">
        <f t="shared" si="0"/>
        <v>0.75</v>
      </c>
      <c r="Q24" s="1">
        <f t="shared" si="1"/>
        <v>0.75</v>
      </c>
    </row>
    <row r="25" spans="1:17" x14ac:dyDescent="0.25">
      <c r="A25">
        <v>23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69</v>
      </c>
      <c r="K25" t="s">
        <v>70</v>
      </c>
      <c r="L25">
        <v>0</v>
      </c>
      <c r="M25">
        <v>3</v>
      </c>
      <c r="N25">
        <v>120213</v>
      </c>
      <c r="O25">
        <v>12</v>
      </c>
      <c r="P25" s="1">
        <f t="shared" si="0"/>
        <v>0.25</v>
      </c>
      <c r="Q25" s="1">
        <f t="shared" si="1"/>
        <v>0.25</v>
      </c>
    </row>
    <row r="26" spans="1:17" x14ac:dyDescent="0.25">
      <c r="A26">
        <v>24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71</v>
      </c>
      <c r="K26" t="s">
        <v>72</v>
      </c>
      <c r="L26">
        <v>0</v>
      </c>
      <c r="M26">
        <v>1</v>
      </c>
      <c r="N26">
        <v>40071</v>
      </c>
      <c r="O26">
        <v>12</v>
      </c>
      <c r="P26" s="1">
        <f t="shared" si="0"/>
        <v>8.3333333333333329E-2</v>
      </c>
      <c r="Q26" s="1">
        <f t="shared" si="1"/>
        <v>8.3333333333333329E-2</v>
      </c>
    </row>
    <row r="27" spans="1:17" x14ac:dyDescent="0.25">
      <c r="A27">
        <v>25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73</v>
      </c>
      <c r="K27" t="s">
        <v>74</v>
      </c>
      <c r="L27">
        <v>0</v>
      </c>
      <c r="M27">
        <v>3</v>
      </c>
      <c r="N27">
        <v>31302</v>
      </c>
      <c r="O27">
        <v>12</v>
      </c>
      <c r="P27" s="1">
        <f t="shared" si="0"/>
        <v>0.25</v>
      </c>
      <c r="Q27" s="1">
        <f t="shared" si="1"/>
        <v>0.25</v>
      </c>
    </row>
    <row r="28" spans="1:17" x14ac:dyDescent="0.25">
      <c r="A28">
        <v>26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75</v>
      </c>
      <c r="K28" t="s">
        <v>76</v>
      </c>
      <c r="L28">
        <v>3</v>
      </c>
      <c r="M28">
        <v>0</v>
      </c>
      <c r="N28">
        <v>1174824</v>
      </c>
      <c r="O28">
        <v>6</v>
      </c>
      <c r="P28" s="1">
        <f t="shared" si="0"/>
        <v>0</v>
      </c>
      <c r="Q28" s="1">
        <f t="shared" si="1"/>
        <v>3</v>
      </c>
    </row>
    <row r="29" spans="1:17" x14ac:dyDescent="0.25">
      <c r="A29">
        <v>27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77</v>
      </c>
      <c r="K29" t="s">
        <v>78</v>
      </c>
      <c r="L29">
        <v>3</v>
      </c>
      <c r="M29">
        <v>3</v>
      </c>
      <c r="N29">
        <v>1813851</v>
      </c>
      <c r="O29">
        <v>12</v>
      </c>
      <c r="P29" s="1">
        <f t="shared" si="0"/>
        <v>0.25</v>
      </c>
      <c r="Q29" s="1">
        <f t="shared" si="1"/>
        <v>3.25</v>
      </c>
    </row>
    <row r="30" spans="1:17" x14ac:dyDescent="0.25">
      <c r="A30">
        <v>28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79</v>
      </c>
      <c r="K30" t="s">
        <v>80</v>
      </c>
      <c r="L30">
        <v>3</v>
      </c>
      <c r="M30">
        <v>2</v>
      </c>
      <c r="N30">
        <v>1767342</v>
      </c>
      <c r="O30">
        <v>12</v>
      </c>
      <c r="P30" s="1">
        <f t="shared" si="0"/>
        <v>0.16666666666666666</v>
      </c>
      <c r="Q30" s="1">
        <f t="shared" si="1"/>
        <v>3.1666666666666665</v>
      </c>
    </row>
    <row r="31" spans="1:17" x14ac:dyDescent="0.25">
      <c r="A31">
        <v>29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81</v>
      </c>
      <c r="K31" t="s">
        <v>82</v>
      </c>
      <c r="L31">
        <v>1</v>
      </c>
      <c r="M31">
        <v>6</v>
      </c>
      <c r="N31">
        <v>457542</v>
      </c>
      <c r="O31">
        <v>12</v>
      </c>
      <c r="P31" s="1">
        <f t="shared" si="0"/>
        <v>0.5</v>
      </c>
      <c r="Q31" s="1">
        <f t="shared" si="1"/>
        <v>1.5</v>
      </c>
    </row>
    <row r="32" spans="1:17" x14ac:dyDescent="0.25">
      <c r="A32">
        <v>30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83</v>
      </c>
      <c r="K32" t="s">
        <v>84</v>
      </c>
      <c r="L32">
        <v>40</v>
      </c>
      <c r="M32">
        <v>2</v>
      </c>
      <c r="N32">
        <v>13396590</v>
      </c>
      <c r="O32">
        <v>4</v>
      </c>
      <c r="P32" s="1">
        <f t="shared" si="0"/>
        <v>0.5</v>
      </c>
      <c r="Q32" s="1">
        <f t="shared" si="1"/>
        <v>40.5</v>
      </c>
    </row>
    <row r="33" spans="1:17" x14ac:dyDescent="0.25">
      <c r="A33">
        <v>31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85</v>
      </c>
      <c r="K33" t="s">
        <v>86</v>
      </c>
      <c r="L33">
        <v>4</v>
      </c>
      <c r="M33">
        <v>9</v>
      </c>
      <c r="N33">
        <v>1107225</v>
      </c>
      <c r="O33">
        <v>24</v>
      </c>
      <c r="P33" s="1">
        <f t="shared" si="0"/>
        <v>0.375</v>
      </c>
      <c r="Q33" s="1">
        <f t="shared" si="1"/>
        <v>4.375</v>
      </c>
    </row>
    <row r="34" spans="1:17" x14ac:dyDescent="0.25">
      <c r="A34">
        <v>32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87</v>
      </c>
      <c r="K34" t="s">
        <v>88</v>
      </c>
      <c r="L34">
        <v>1</v>
      </c>
      <c r="M34">
        <v>3</v>
      </c>
      <c r="N34">
        <v>791208</v>
      </c>
      <c r="O34">
        <v>24</v>
      </c>
      <c r="P34" s="1">
        <f t="shared" si="0"/>
        <v>0.125</v>
      </c>
      <c r="Q34" s="1">
        <f t="shared" si="1"/>
        <v>1.125</v>
      </c>
    </row>
    <row r="35" spans="1:17" x14ac:dyDescent="0.25">
      <c r="A35">
        <v>33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89</v>
      </c>
      <c r="K35" t="s">
        <v>90</v>
      </c>
      <c r="L35">
        <v>5</v>
      </c>
      <c r="M35">
        <v>5</v>
      </c>
      <c r="N35">
        <v>1125540</v>
      </c>
      <c r="O35">
        <v>12</v>
      </c>
      <c r="P35" s="1">
        <f t="shared" si="0"/>
        <v>0.41666666666666669</v>
      </c>
      <c r="Q35" s="1">
        <f t="shared" si="1"/>
        <v>5.416666666666667</v>
      </c>
    </row>
    <row r="36" spans="1:17" x14ac:dyDescent="0.25">
      <c r="A36">
        <v>34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91</v>
      </c>
      <c r="K36" t="s">
        <v>92</v>
      </c>
      <c r="L36">
        <v>0</v>
      </c>
      <c r="M36">
        <v>2</v>
      </c>
      <c r="N36">
        <v>33744</v>
      </c>
      <c r="O36">
        <v>12</v>
      </c>
      <c r="P36" s="1">
        <f t="shared" si="0"/>
        <v>0.16666666666666666</v>
      </c>
      <c r="Q36" s="1">
        <f t="shared" si="1"/>
        <v>0.16666666666666666</v>
      </c>
    </row>
    <row r="37" spans="1:17" x14ac:dyDescent="0.25">
      <c r="A37">
        <v>35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93</v>
      </c>
      <c r="K37" t="s">
        <v>94</v>
      </c>
      <c r="L37">
        <v>2</v>
      </c>
      <c r="M37">
        <v>3</v>
      </c>
      <c r="N37">
        <v>713286</v>
      </c>
      <c r="O37">
        <v>12</v>
      </c>
      <c r="P37" s="1">
        <f t="shared" si="0"/>
        <v>0.25</v>
      </c>
      <c r="Q37" s="1">
        <f t="shared" si="1"/>
        <v>2.25</v>
      </c>
    </row>
    <row r="38" spans="1:17" x14ac:dyDescent="0.25">
      <c r="A38">
        <v>36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95</v>
      </c>
      <c r="K38" t="s">
        <v>96</v>
      </c>
      <c r="L38">
        <v>1</v>
      </c>
      <c r="M38">
        <v>5</v>
      </c>
      <c r="N38">
        <v>266067</v>
      </c>
      <c r="O38">
        <v>12</v>
      </c>
      <c r="P38" s="1">
        <f t="shared" si="0"/>
        <v>0.41666666666666669</v>
      </c>
      <c r="Q38" s="1">
        <f t="shared" si="1"/>
        <v>1.4166666666666667</v>
      </c>
    </row>
    <row r="39" spans="1:17" x14ac:dyDescent="0.25">
      <c r="A39">
        <v>37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97</v>
      </c>
      <c r="K39" t="s">
        <v>98</v>
      </c>
      <c r="L39">
        <v>0</v>
      </c>
      <c r="M39">
        <v>15</v>
      </c>
      <c r="N39">
        <v>81585</v>
      </c>
      <c r="O39">
        <v>24</v>
      </c>
      <c r="P39" s="1">
        <f t="shared" si="0"/>
        <v>0.625</v>
      </c>
      <c r="Q39" s="1">
        <f t="shared" si="1"/>
        <v>0.625</v>
      </c>
    </row>
    <row r="40" spans="1:17" x14ac:dyDescent="0.25">
      <c r="A40">
        <v>38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99</v>
      </c>
      <c r="K40" t="s">
        <v>100</v>
      </c>
      <c r="L40">
        <v>5</v>
      </c>
      <c r="M40">
        <v>0</v>
      </c>
      <c r="N40">
        <v>546120</v>
      </c>
      <c r="O40">
        <v>12</v>
      </c>
      <c r="P40" s="1">
        <f t="shared" si="0"/>
        <v>0</v>
      </c>
      <c r="Q40" s="1">
        <f t="shared" si="1"/>
        <v>5</v>
      </c>
    </row>
    <row r="41" spans="1:17" x14ac:dyDescent="0.25">
      <c r="A41">
        <v>39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101</v>
      </c>
      <c r="K41" t="s">
        <v>102</v>
      </c>
      <c r="L41">
        <v>1</v>
      </c>
      <c r="M41">
        <v>7</v>
      </c>
      <c r="N41">
        <v>261516</v>
      </c>
      <c r="O41">
        <v>12</v>
      </c>
      <c r="P41" s="1">
        <f t="shared" si="0"/>
        <v>0.58333333333333337</v>
      </c>
      <c r="Q41" s="1">
        <f t="shared" si="1"/>
        <v>1.5833333333333335</v>
      </c>
    </row>
    <row r="42" spans="1:17" x14ac:dyDescent="0.25">
      <c r="A42">
        <v>40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103</v>
      </c>
      <c r="K42" t="s">
        <v>104</v>
      </c>
      <c r="L42">
        <v>2</v>
      </c>
      <c r="M42">
        <v>0</v>
      </c>
      <c r="N42">
        <v>1009656</v>
      </c>
      <c r="O42">
        <v>4</v>
      </c>
      <c r="P42" s="1">
        <f t="shared" si="0"/>
        <v>0</v>
      </c>
      <c r="Q42" s="1">
        <f t="shared" si="1"/>
        <v>2</v>
      </c>
    </row>
    <row r="43" spans="1:17" x14ac:dyDescent="0.25">
      <c r="A43">
        <v>41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105</v>
      </c>
      <c r="K43" t="s">
        <v>106</v>
      </c>
      <c r="L43">
        <v>1</v>
      </c>
      <c r="M43">
        <v>2</v>
      </c>
      <c r="N43">
        <v>219780</v>
      </c>
      <c r="O43">
        <v>4</v>
      </c>
      <c r="P43" s="1">
        <f t="shared" si="0"/>
        <v>0.5</v>
      </c>
      <c r="Q43" s="1">
        <f t="shared" si="1"/>
        <v>1.5</v>
      </c>
    </row>
    <row r="44" spans="1:17" x14ac:dyDescent="0.25">
      <c r="A44">
        <v>42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107</v>
      </c>
      <c r="K44" t="s">
        <v>108</v>
      </c>
      <c r="L44">
        <v>0</v>
      </c>
      <c r="M44">
        <v>21</v>
      </c>
      <c r="N44">
        <v>235431</v>
      </c>
      <c r="O44">
        <v>24</v>
      </c>
      <c r="P44" s="1">
        <f t="shared" si="0"/>
        <v>0.875</v>
      </c>
      <c r="Q44" s="1">
        <f t="shared" si="1"/>
        <v>0.875</v>
      </c>
    </row>
    <row r="45" spans="1:17" x14ac:dyDescent="0.25">
      <c r="A45">
        <v>43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109</v>
      </c>
      <c r="K45" t="s">
        <v>110</v>
      </c>
      <c r="L45">
        <v>7</v>
      </c>
      <c r="M45">
        <v>17</v>
      </c>
      <c r="N45">
        <v>2074035</v>
      </c>
      <c r="O45">
        <v>24</v>
      </c>
      <c r="P45" s="1">
        <f t="shared" si="0"/>
        <v>0.70833333333333337</v>
      </c>
      <c r="Q45" s="1">
        <f t="shared" si="1"/>
        <v>7.708333333333333</v>
      </c>
    </row>
    <row r="46" spans="1:17" x14ac:dyDescent="0.25">
      <c r="A46">
        <v>44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111</v>
      </c>
      <c r="K46" t="s">
        <v>112</v>
      </c>
      <c r="L46">
        <v>0</v>
      </c>
      <c r="M46">
        <v>1</v>
      </c>
      <c r="N46">
        <v>11211</v>
      </c>
      <c r="O46">
        <v>24</v>
      </c>
      <c r="P46" s="1">
        <f t="shared" si="0"/>
        <v>4.1666666666666664E-2</v>
      </c>
      <c r="Q46" s="1">
        <f t="shared" si="1"/>
        <v>4.1666666666666664E-2</v>
      </c>
    </row>
    <row r="47" spans="1:17" x14ac:dyDescent="0.25">
      <c r="A47">
        <v>45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113</v>
      </c>
      <c r="K47" t="s">
        <v>114</v>
      </c>
      <c r="L47">
        <v>2</v>
      </c>
      <c r="M47">
        <v>34</v>
      </c>
      <c r="N47">
        <v>735930</v>
      </c>
      <c r="O47">
        <v>48</v>
      </c>
      <c r="P47" s="1">
        <f t="shared" si="0"/>
        <v>0.70833333333333337</v>
      </c>
      <c r="Q47" s="1">
        <f t="shared" si="1"/>
        <v>2.7083333333333335</v>
      </c>
    </row>
    <row r="48" spans="1:17" x14ac:dyDescent="0.25">
      <c r="A48">
        <v>46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115</v>
      </c>
      <c r="K48" t="s">
        <v>116</v>
      </c>
      <c r="L48">
        <v>4</v>
      </c>
      <c r="M48">
        <v>7</v>
      </c>
      <c r="N48">
        <v>1184370</v>
      </c>
      <c r="O48">
        <v>12</v>
      </c>
      <c r="P48" s="1">
        <f t="shared" si="0"/>
        <v>0.58333333333333337</v>
      </c>
      <c r="Q48" s="1">
        <f t="shared" si="1"/>
        <v>4.583333333333333</v>
      </c>
    </row>
    <row r="49" spans="1:17" x14ac:dyDescent="0.25">
      <c r="A49">
        <v>47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117</v>
      </c>
      <c r="K49" t="s">
        <v>118</v>
      </c>
      <c r="L49">
        <v>3</v>
      </c>
      <c r="M49">
        <v>6</v>
      </c>
      <c r="N49">
        <v>904428</v>
      </c>
      <c r="O49">
        <v>12</v>
      </c>
      <c r="P49" s="1">
        <f t="shared" si="0"/>
        <v>0.5</v>
      </c>
      <c r="Q49" s="1">
        <f t="shared" si="1"/>
        <v>3.5</v>
      </c>
    </row>
    <row r="50" spans="1:17" x14ac:dyDescent="0.25">
      <c r="A50">
        <v>48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119</v>
      </c>
      <c r="K50" t="s">
        <v>120</v>
      </c>
      <c r="L50">
        <v>4</v>
      </c>
      <c r="M50">
        <v>0</v>
      </c>
      <c r="N50">
        <v>1033632</v>
      </c>
      <c r="O50">
        <v>12</v>
      </c>
      <c r="P50" s="1">
        <f t="shared" si="0"/>
        <v>0</v>
      </c>
      <c r="Q50" s="1">
        <f t="shared" si="1"/>
        <v>4</v>
      </c>
    </row>
    <row r="51" spans="1:17" x14ac:dyDescent="0.25">
      <c r="A51">
        <v>49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121</v>
      </c>
      <c r="K51" t="s">
        <v>122</v>
      </c>
      <c r="L51">
        <v>3</v>
      </c>
      <c r="M51">
        <v>6</v>
      </c>
      <c r="N51">
        <v>904428</v>
      </c>
      <c r="O51">
        <v>12</v>
      </c>
      <c r="P51" s="1">
        <f t="shared" si="0"/>
        <v>0.5</v>
      </c>
      <c r="Q51" s="1">
        <f t="shared" si="1"/>
        <v>3.5</v>
      </c>
    </row>
    <row r="52" spans="1:17" x14ac:dyDescent="0.25">
      <c r="A52">
        <v>50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123</v>
      </c>
      <c r="K52" t="s">
        <v>124</v>
      </c>
      <c r="L52">
        <v>1</v>
      </c>
      <c r="M52">
        <v>6</v>
      </c>
      <c r="N52">
        <v>351648</v>
      </c>
      <c r="O52">
        <v>12</v>
      </c>
      <c r="P52" s="1">
        <f t="shared" si="0"/>
        <v>0.5</v>
      </c>
      <c r="Q52" s="1">
        <f t="shared" si="1"/>
        <v>1.5</v>
      </c>
    </row>
    <row r="53" spans="1:17" x14ac:dyDescent="0.25">
      <c r="A53">
        <v>51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125</v>
      </c>
      <c r="K53" t="s">
        <v>126</v>
      </c>
      <c r="L53">
        <v>1</v>
      </c>
      <c r="M53">
        <v>4</v>
      </c>
      <c r="N53">
        <v>317016</v>
      </c>
      <c r="O53">
        <v>24</v>
      </c>
      <c r="P53" s="1">
        <f t="shared" si="0"/>
        <v>0.16666666666666666</v>
      </c>
      <c r="Q53" s="1">
        <f t="shared" si="1"/>
        <v>1.1666666666666667</v>
      </c>
    </row>
    <row r="54" spans="1:17" x14ac:dyDescent="0.25">
      <c r="A54">
        <v>52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127</v>
      </c>
      <c r="K54" t="s">
        <v>128</v>
      </c>
      <c r="L54">
        <v>0</v>
      </c>
      <c r="M54">
        <v>22</v>
      </c>
      <c r="N54">
        <v>249084</v>
      </c>
      <c r="O54">
        <v>24</v>
      </c>
      <c r="P54" s="1">
        <f t="shared" si="0"/>
        <v>0.91666666666666663</v>
      </c>
      <c r="Q54" s="1">
        <f t="shared" si="1"/>
        <v>0.91666666666666663</v>
      </c>
    </row>
    <row r="55" spans="1:17" x14ac:dyDescent="0.25">
      <c r="A55">
        <v>53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129</v>
      </c>
      <c r="K55" t="s">
        <v>130</v>
      </c>
      <c r="L55">
        <v>0</v>
      </c>
      <c r="M55">
        <v>7</v>
      </c>
      <c r="N55">
        <v>136752</v>
      </c>
      <c r="O55">
        <v>12</v>
      </c>
      <c r="P55" s="1">
        <f t="shared" si="0"/>
        <v>0.58333333333333337</v>
      </c>
      <c r="Q55" s="1">
        <f t="shared" si="1"/>
        <v>0.58333333333333337</v>
      </c>
    </row>
    <row r="56" spans="1:17" x14ac:dyDescent="0.25">
      <c r="A56">
        <v>54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131</v>
      </c>
      <c r="K56" t="s">
        <v>132</v>
      </c>
      <c r="L56">
        <v>1</v>
      </c>
      <c r="M56">
        <v>20</v>
      </c>
      <c r="N56">
        <v>498168</v>
      </c>
      <c r="O56">
        <v>24</v>
      </c>
      <c r="P56" s="1">
        <f t="shared" si="0"/>
        <v>0.83333333333333337</v>
      </c>
      <c r="Q56" s="1">
        <f t="shared" si="1"/>
        <v>1.8333333333333335</v>
      </c>
    </row>
    <row r="57" spans="1:17" x14ac:dyDescent="0.25">
      <c r="A57">
        <v>55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133</v>
      </c>
      <c r="K57" t="s">
        <v>134</v>
      </c>
      <c r="L57">
        <v>0</v>
      </c>
      <c r="M57">
        <v>2</v>
      </c>
      <c r="N57">
        <v>39072</v>
      </c>
      <c r="O57">
        <v>12</v>
      </c>
      <c r="P57" s="1">
        <f t="shared" si="0"/>
        <v>0.16666666666666666</v>
      </c>
      <c r="Q57" s="1">
        <f t="shared" si="1"/>
        <v>0.16666666666666666</v>
      </c>
    </row>
    <row r="58" spans="1:17" x14ac:dyDescent="0.25">
      <c r="A58">
        <v>56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135</v>
      </c>
      <c r="K58" t="s">
        <v>136</v>
      </c>
      <c r="L58">
        <v>0</v>
      </c>
      <c r="M58">
        <v>14</v>
      </c>
      <c r="N58">
        <v>158508</v>
      </c>
      <c r="O58">
        <v>24</v>
      </c>
      <c r="P58" s="1">
        <f t="shared" si="0"/>
        <v>0.58333333333333337</v>
      </c>
      <c r="Q58" s="1">
        <f t="shared" si="1"/>
        <v>0.58333333333333337</v>
      </c>
    </row>
    <row r="59" spans="1:17" x14ac:dyDescent="0.25">
      <c r="A59">
        <v>57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137</v>
      </c>
      <c r="K59" t="s">
        <v>138</v>
      </c>
      <c r="L59">
        <v>5</v>
      </c>
      <c r="M59">
        <v>9</v>
      </c>
      <c r="N59">
        <v>1409256</v>
      </c>
      <c r="O59">
        <v>12</v>
      </c>
      <c r="P59" s="1">
        <f t="shared" si="0"/>
        <v>0.75</v>
      </c>
      <c r="Q59" s="1">
        <f t="shared" si="1"/>
        <v>5.75</v>
      </c>
    </row>
    <row r="60" spans="1:17" x14ac:dyDescent="0.25">
      <c r="A60">
        <v>58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139</v>
      </c>
      <c r="K60" t="s">
        <v>140</v>
      </c>
      <c r="L60">
        <v>7</v>
      </c>
      <c r="M60">
        <v>18</v>
      </c>
      <c r="N60">
        <v>2167830</v>
      </c>
      <c r="O60">
        <v>24</v>
      </c>
      <c r="P60" s="1">
        <f t="shared" si="0"/>
        <v>0.75</v>
      </c>
      <c r="Q60" s="1">
        <f t="shared" si="1"/>
        <v>7.75</v>
      </c>
    </row>
    <row r="61" spans="1:17" x14ac:dyDescent="0.25">
      <c r="A61">
        <v>59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141</v>
      </c>
      <c r="K61" t="s">
        <v>142</v>
      </c>
      <c r="L61">
        <v>1</v>
      </c>
      <c r="M61">
        <v>11</v>
      </c>
      <c r="N61">
        <v>469752</v>
      </c>
      <c r="O61">
        <v>12</v>
      </c>
      <c r="P61" s="1">
        <f t="shared" si="0"/>
        <v>0.91666666666666663</v>
      </c>
      <c r="Q61" s="1">
        <f t="shared" si="1"/>
        <v>1.9166666666666665</v>
      </c>
    </row>
    <row r="62" spans="1:17" x14ac:dyDescent="0.25">
      <c r="A62">
        <v>60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143</v>
      </c>
      <c r="K62" t="s">
        <v>144</v>
      </c>
      <c r="L62">
        <v>0</v>
      </c>
      <c r="M62">
        <v>5</v>
      </c>
      <c r="N62">
        <v>58275</v>
      </c>
      <c r="O62">
        <v>24</v>
      </c>
      <c r="P62" s="1">
        <f t="shared" si="0"/>
        <v>0.20833333333333334</v>
      </c>
      <c r="Q62" s="1">
        <f t="shared" si="1"/>
        <v>0.20833333333333334</v>
      </c>
    </row>
    <row r="63" spans="1:17" x14ac:dyDescent="0.25">
      <c r="A63">
        <v>61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145</v>
      </c>
      <c r="K63" t="s">
        <v>146</v>
      </c>
      <c r="L63">
        <v>1</v>
      </c>
      <c r="M63">
        <v>6</v>
      </c>
      <c r="N63">
        <v>367632</v>
      </c>
      <c r="O63">
        <v>12</v>
      </c>
      <c r="P63" s="1">
        <f t="shared" si="0"/>
        <v>0.5</v>
      </c>
      <c r="Q63" s="1">
        <f t="shared" si="1"/>
        <v>1.5</v>
      </c>
    </row>
    <row r="64" spans="1:17" x14ac:dyDescent="0.25">
      <c r="A64">
        <v>62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147</v>
      </c>
      <c r="K64" t="s">
        <v>148</v>
      </c>
      <c r="L64">
        <v>0</v>
      </c>
      <c r="M64">
        <v>12</v>
      </c>
      <c r="N64">
        <v>139860</v>
      </c>
      <c r="O64">
        <v>24</v>
      </c>
      <c r="P64" s="1">
        <f t="shared" si="0"/>
        <v>0.5</v>
      </c>
      <c r="Q64" s="1">
        <f t="shared" si="1"/>
        <v>0.5</v>
      </c>
    </row>
    <row r="65" spans="1:17" x14ac:dyDescent="0.25">
      <c r="A65">
        <v>63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149</v>
      </c>
      <c r="K65" t="s">
        <v>150</v>
      </c>
      <c r="L65">
        <v>0</v>
      </c>
      <c r="M65">
        <v>2</v>
      </c>
      <c r="N65">
        <v>17538</v>
      </c>
      <c r="O65">
        <v>24</v>
      </c>
      <c r="P65" s="1">
        <f t="shared" si="0"/>
        <v>8.3333333333333329E-2</v>
      </c>
      <c r="Q65" s="1">
        <f t="shared" si="1"/>
        <v>8.3333333333333329E-2</v>
      </c>
    </row>
    <row r="66" spans="1:17" x14ac:dyDescent="0.25">
      <c r="A66">
        <v>64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151</v>
      </c>
      <c r="K66" t="s">
        <v>152</v>
      </c>
      <c r="L66">
        <v>0</v>
      </c>
      <c r="M66">
        <v>408</v>
      </c>
      <c r="N66">
        <v>226440</v>
      </c>
      <c r="O66">
        <v>432</v>
      </c>
      <c r="P66" s="1">
        <f t="shared" si="0"/>
        <v>0.94444444444444442</v>
      </c>
      <c r="Q66" s="1">
        <f t="shared" si="1"/>
        <v>0.94444444444444442</v>
      </c>
    </row>
    <row r="67" spans="1:17" x14ac:dyDescent="0.25">
      <c r="A67">
        <v>65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153</v>
      </c>
      <c r="K67" t="s">
        <v>154</v>
      </c>
      <c r="L67">
        <v>0</v>
      </c>
      <c r="M67">
        <v>4</v>
      </c>
      <c r="N67">
        <v>35076</v>
      </c>
      <c r="O67">
        <v>24</v>
      </c>
      <c r="P67" s="1">
        <f t="shared" si="0"/>
        <v>0.16666666666666666</v>
      </c>
      <c r="Q67" s="1">
        <f t="shared" si="1"/>
        <v>0.16666666666666666</v>
      </c>
    </row>
    <row r="68" spans="1:17" x14ac:dyDescent="0.25">
      <c r="A68">
        <v>66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155</v>
      </c>
      <c r="K68" t="s">
        <v>156</v>
      </c>
      <c r="L68">
        <v>2</v>
      </c>
      <c r="M68">
        <v>96</v>
      </c>
      <c r="N68">
        <v>532800</v>
      </c>
      <c r="O68">
        <v>432</v>
      </c>
      <c r="P68" s="1">
        <f t="shared" ref="P68:P131" si="2">M68/O68</f>
        <v>0.22222222222222221</v>
      </c>
      <c r="Q68" s="1">
        <f t="shared" ref="Q68:Q131" si="3">L68+P68</f>
        <v>2.2222222222222223</v>
      </c>
    </row>
    <row r="69" spans="1:17" x14ac:dyDescent="0.25">
      <c r="A69">
        <v>67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157</v>
      </c>
      <c r="K69" t="s">
        <v>158</v>
      </c>
      <c r="L69">
        <v>0</v>
      </c>
      <c r="M69">
        <v>0</v>
      </c>
      <c r="N69">
        <v>0</v>
      </c>
      <c r="O69">
        <v>24</v>
      </c>
      <c r="P69" s="1">
        <f t="shared" si="2"/>
        <v>0</v>
      </c>
      <c r="Q69" s="1">
        <f t="shared" si="3"/>
        <v>0</v>
      </c>
    </row>
    <row r="70" spans="1:17" x14ac:dyDescent="0.25">
      <c r="A70">
        <v>68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159</v>
      </c>
      <c r="K70" t="s">
        <v>160</v>
      </c>
      <c r="L70">
        <v>6</v>
      </c>
      <c r="M70">
        <v>3</v>
      </c>
      <c r="N70">
        <v>1207125</v>
      </c>
      <c r="O70">
        <v>72</v>
      </c>
      <c r="P70" s="1">
        <f t="shared" si="2"/>
        <v>4.1666666666666664E-2</v>
      </c>
      <c r="Q70" s="1">
        <f t="shared" si="3"/>
        <v>6.041666666666667</v>
      </c>
    </row>
    <row r="71" spans="1:17" x14ac:dyDescent="0.25">
      <c r="A71">
        <v>69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161</v>
      </c>
      <c r="K71" t="s">
        <v>162</v>
      </c>
      <c r="L71">
        <v>0</v>
      </c>
      <c r="M71">
        <v>14</v>
      </c>
      <c r="N71">
        <v>156954</v>
      </c>
      <c r="O71">
        <v>24</v>
      </c>
      <c r="P71" s="1">
        <f t="shared" si="2"/>
        <v>0.58333333333333337</v>
      </c>
      <c r="Q71" s="1">
        <f t="shared" si="3"/>
        <v>0.58333333333333337</v>
      </c>
    </row>
    <row r="72" spans="1:17" x14ac:dyDescent="0.25">
      <c r="A72">
        <v>70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163</v>
      </c>
      <c r="K72" t="s">
        <v>164</v>
      </c>
      <c r="L72">
        <v>1</v>
      </c>
      <c r="M72">
        <v>5</v>
      </c>
      <c r="N72">
        <v>373626</v>
      </c>
      <c r="O72">
        <v>12</v>
      </c>
      <c r="P72" s="1">
        <f t="shared" si="2"/>
        <v>0.41666666666666669</v>
      </c>
      <c r="Q72" s="1">
        <f t="shared" si="3"/>
        <v>1.4166666666666667</v>
      </c>
    </row>
    <row r="73" spans="1:17" x14ac:dyDescent="0.25">
      <c r="A73">
        <v>71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165</v>
      </c>
      <c r="K73" t="s">
        <v>166</v>
      </c>
      <c r="L73">
        <v>0</v>
      </c>
      <c r="M73">
        <v>2</v>
      </c>
      <c r="N73">
        <v>16428</v>
      </c>
      <c r="O73">
        <v>24</v>
      </c>
      <c r="P73" s="1">
        <f t="shared" si="2"/>
        <v>8.3333333333333329E-2</v>
      </c>
      <c r="Q73" s="1">
        <f t="shared" si="3"/>
        <v>8.3333333333333329E-2</v>
      </c>
    </row>
    <row r="74" spans="1:17" x14ac:dyDescent="0.25">
      <c r="A74">
        <v>72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167</v>
      </c>
      <c r="K74" t="s">
        <v>168</v>
      </c>
      <c r="L74">
        <v>3</v>
      </c>
      <c r="M74">
        <v>9</v>
      </c>
      <c r="N74">
        <v>739260</v>
      </c>
      <c r="O74">
        <v>12</v>
      </c>
      <c r="P74" s="1">
        <f t="shared" si="2"/>
        <v>0.75</v>
      </c>
      <c r="Q74" s="1">
        <f t="shared" si="3"/>
        <v>3.75</v>
      </c>
    </row>
    <row r="75" spans="1:17" x14ac:dyDescent="0.25">
      <c r="A75">
        <v>73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169</v>
      </c>
      <c r="K75" t="s">
        <v>170</v>
      </c>
      <c r="L75">
        <v>0</v>
      </c>
      <c r="M75">
        <v>6</v>
      </c>
      <c r="N75">
        <v>134532</v>
      </c>
      <c r="O75">
        <v>12</v>
      </c>
      <c r="P75" s="1">
        <f t="shared" si="2"/>
        <v>0.5</v>
      </c>
      <c r="Q75" s="1">
        <f t="shared" si="3"/>
        <v>0.5</v>
      </c>
    </row>
    <row r="76" spans="1:17" x14ac:dyDescent="0.25">
      <c r="A76">
        <v>74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171</v>
      </c>
      <c r="K76" t="s">
        <v>172</v>
      </c>
      <c r="L76">
        <v>1</v>
      </c>
      <c r="M76">
        <v>1</v>
      </c>
      <c r="N76">
        <v>202575</v>
      </c>
      <c r="O76">
        <v>72</v>
      </c>
      <c r="P76" s="1">
        <f t="shared" si="2"/>
        <v>1.3888888888888888E-2</v>
      </c>
      <c r="Q76" s="1">
        <f t="shared" si="3"/>
        <v>1.0138888888888888</v>
      </c>
    </row>
    <row r="77" spans="1:17" x14ac:dyDescent="0.25">
      <c r="A77">
        <v>75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173</v>
      </c>
      <c r="K77" t="s">
        <v>174</v>
      </c>
      <c r="L77">
        <v>0</v>
      </c>
      <c r="M77">
        <v>6</v>
      </c>
      <c r="N77">
        <v>67266</v>
      </c>
      <c r="O77">
        <v>24</v>
      </c>
      <c r="P77" s="1">
        <f t="shared" si="2"/>
        <v>0.25</v>
      </c>
      <c r="Q77" s="1">
        <f t="shared" si="3"/>
        <v>0.25</v>
      </c>
    </row>
    <row r="78" spans="1:17" x14ac:dyDescent="0.25">
      <c r="A78">
        <v>76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175</v>
      </c>
      <c r="K78" t="s">
        <v>176</v>
      </c>
      <c r="L78">
        <v>0</v>
      </c>
      <c r="M78">
        <v>4</v>
      </c>
      <c r="N78">
        <v>87912</v>
      </c>
      <c r="O78">
        <v>12</v>
      </c>
      <c r="P78" s="1">
        <f t="shared" si="2"/>
        <v>0.33333333333333331</v>
      </c>
      <c r="Q78" s="1">
        <f t="shared" si="3"/>
        <v>0.33333333333333331</v>
      </c>
    </row>
    <row r="79" spans="1:17" x14ac:dyDescent="0.25">
      <c r="A79">
        <v>77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177</v>
      </c>
      <c r="K79" t="s">
        <v>178</v>
      </c>
      <c r="L79">
        <v>1</v>
      </c>
      <c r="M79">
        <v>7</v>
      </c>
      <c r="N79">
        <v>254634</v>
      </c>
      <c r="O79">
        <v>24</v>
      </c>
      <c r="P79" s="1">
        <f t="shared" si="2"/>
        <v>0.29166666666666669</v>
      </c>
      <c r="Q79" s="1">
        <f t="shared" si="3"/>
        <v>1.2916666666666667</v>
      </c>
    </row>
    <row r="80" spans="1:17" x14ac:dyDescent="0.25">
      <c r="A80">
        <v>78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179</v>
      </c>
      <c r="K80" t="s">
        <v>180</v>
      </c>
      <c r="L80">
        <v>0</v>
      </c>
      <c r="M80">
        <v>1</v>
      </c>
      <c r="N80">
        <v>16428</v>
      </c>
      <c r="O80">
        <v>12</v>
      </c>
      <c r="P80" s="1">
        <f t="shared" si="2"/>
        <v>8.3333333333333329E-2</v>
      </c>
      <c r="Q80" s="1">
        <f t="shared" si="3"/>
        <v>8.3333333333333329E-2</v>
      </c>
    </row>
    <row r="81" spans="1:17" x14ac:dyDescent="0.25">
      <c r="A81">
        <v>79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181</v>
      </c>
      <c r="K81" t="s">
        <v>182</v>
      </c>
      <c r="L81">
        <v>5</v>
      </c>
      <c r="M81">
        <v>34</v>
      </c>
      <c r="N81">
        <v>1093350</v>
      </c>
      <c r="O81">
        <v>72</v>
      </c>
      <c r="P81" s="1">
        <f t="shared" si="2"/>
        <v>0.47222222222222221</v>
      </c>
      <c r="Q81" s="1">
        <f t="shared" si="3"/>
        <v>5.4722222222222223</v>
      </c>
    </row>
    <row r="82" spans="1:17" x14ac:dyDescent="0.25">
      <c r="A82">
        <v>80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183</v>
      </c>
      <c r="K82" t="s">
        <v>184</v>
      </c>
      <c r="L82">
        <v>0</v>
      </c>
      <c r="M82">
        <v>2</v>
      </c>
      <c r="N82">
        <v>22422</v>
      </c>
      <c r="O82">
        <v>24</v>
      </c>
      <c r="P82" s="1">
        <f t="shared" si="2"/>
        <v>8.3333333333333329E-2</v>
      </c>
      <c r="Q82" s="1">
        <f t="shared" si="3"/>
        <v>8.3333333333333329E-2</v>
      </c>
    </row>
    <row r="83" spans="1:17" x14ac:dyDescent="0.25">
      <c r="A83">
        <v>81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185</v>
      </c>
      <c r="K83" t="s">
        <v>186</v>
      </c>
      <c r="L83">
        <v>0</v>
      </c>
      <c r="M83">
        <v>0</v>
      </c>
      <c r="N83">
        <v>0</v>
      </c>
      <c r="O83">
        <v>12</v>
      </c>
      <c r="P83" s="1">
        <f t="shared" si="2"/>
        <v>0</v>
      </c>
      <c r="Q83" s="1">
        <f t="shared" si="3"/>
        <v>0</v>
      </c>
    </row>
    <row r="84" spans="1:17" x14ac:dyDescent="0.25">
      <c r="A84">
        <v>82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187</v>
      </c>
      <c r="K84" t="s">
        <v>188</v>
      </c>
      <c r="L84">
        <v>1</v>
      </c>
      <c r="M84">
        <v>8</v>
      </c>
      <c r="N84">
        <v>262848</v>
      </c>
      <c r="O84">
        <v>24</v>
      </c>
      <c r="P84" s="1">
        <f t="shared" si="2"/>
        <v>0.33333333333333331</v>
      </c>
      <c r="Q84" s="1">
        <f t="shared" si="3"/>
        <v>1.3333333333333333</v>
      </c>
    </row>
    <row r="85" spans="1:17" x14ac:dyDescent="0.25">
      <c r="A85">
        <v>83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189</v>
      </c>
      <c r="K85" t="s">
        <v>190</v>
      </c>
      <c r="L85">
        <v>1</v>
      </c>
      <c r="M85">
        <v>2</v>
      </c>
      <c r="N85">
        <v>229992</v>
      </c>
      <c r="O85">
        <v>12</v>
      </c>
      <c r="P85" s="1">
        <f t="shared" si="2"/>
        <v>0.16666666666666666</v>
      </c>
      <c r="Q85" s="1">
        <f t="shared" si="3"/>
        <v>1.1666666666666667</v>
      </c>
    </row>
    <row r="86" spans="1:17" x14ac:dyDescent="0.25">
      <c r="A86">
        <v>84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191</v>
      </c>
      <c r="K86" t="s">
        <v>192</v>
      </c>
      <c r="L86">
        <v>0</v>
      </c>
      <c r="M86">
        <v>8</v>
      </c>
      <c r="N86">
        <v>179376</v>
      </c>
      <c r="O86">
        <v>12</v>
      </c>
      <c r="P86" s="1">
        <f t="shared" si="2"/>
        <v>0.66666666666666663</v>
      </c>
      <c r="Q86" s="1">
        <f t="shared" si="3"/>
        <v>0.66666666666666663</v>
      </c>
    </row>
    <row r="87" spans="1:17" x14ac:dyDescent="0.25">
      <c r="A87">
        <v>85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193</v>
      </c>
      <c r="K87" t="s">
        <v>194</v>
      </c>
      <c r="L87">
        <v>0</v>
      </c>
      <c r="M87">
        <v>23</v>
      </c>
      <c r="N87">
        <v>63825</v>
      </c>
      <c r="O87">
        <v>72</v>
      </c>
      <c r="P87" s="1">
        <f t="shared" si="2"/>
        <v>0.31944444444444442</v>
      </c>
      <c r="Q87" s="1">
        <f t="shared" si="3"/>
        <v>0.31944444444444442</v>
      </c>
    </row>
    <row r="88" spans="1:17" x14ac:dyDescent="0.25">
      <c r="A88">
        <v>86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195</v>
      </c>
      <c r="K88" t="s">
        <v>196</v>
      </c>
      <c r="L88">
        <v>0</v>
      </c>
      <c r="M88">
        <v>1</v>
      </c>
      <c r="N88">
        <v>11211</v>
      </c>
      <c r="O88">
        <v>24</v>
      </c>
      <c r="P88" s="1">
        <f t="shared" si="2"/>
        <v>4.1666666666666664E-2</v>
      </c>
      <c r="Q88" s="1">
        <f t="shared" si="3"/>
        <v>4.1666666666666664E-2</v>
      </c>
    </row>
    <row r="89" spans="1:17" x14ac:dyDescent="0.25">
      <c r="A89">
        <v>87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197</v>
      </c>
      <c r="K89" t="s">
        <v>198</v>
      </c>
      <c r="L89">
        <v>2</v>
      </c>
      <c r="M89">
        <v>11</v>
      </c>
      <c r="N89">
        <v>769230</v>
      </c>
      <c r="O89">
        <v>12</v>
      </c>
      <c r="P89" s="1">
        <f t="shared" si="2"/>
        <v>0.91666666666666663</v>
      </c>
      <c r="Q89" s="1">
        <f t="shared" si="3"/>
        <v>2.9166666666666665</v>
      </c>
    </row>
    <row r="90" spans="1:17" x14ac:dyDescent="0.25">
      <c r="A90">
        <v>88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199</v>
      </c>
      <c r="K90" t="s">
        <v>200</v>
      </c>
      <c r="L90">
        <v>0</v>
      </c>
      <c r="M90">
        <v>2</v>
      </c>
      <c r="N90">
        <v>16428</v>
      </c>
      <c r="O90">
        <v>24</v>
      </c>
      <c r="P90" s="1">
        <f t="shared" si="2"/>
        <v>8.3333333333333329E-2</v>
      </c>
      <c r="Q90" s="1">
        <f t="shared" si="3"/>
        <v>8.3333333333333329E-2</v>
      </c>
    </row>
    <row r="91" spans="1:17" x14ac:dyDescent="0.25">
      <c r="A91">
        <v>89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201</v>
      </c>
      <c r="K91" t="s">
        <v>202</v>
      </c>
      <c r="L91">
        <v>2</v>
      </c>
      <c r="M91">
        <v>2</v>
      </c>
      <c r="N91">
        <v>427128</v>
      </c>
      <c r="O91">
        <v>12</v>
      </c>
      <c r="P91" s="1">
        <f t="shared" si="2"/>
        <v>0.16666666666666666</v>
      </c>
      <c r="Q91" s="1">
        <f t="shared" si="3"/>
        <v>2.1666666666666665</v>
      </c>
    </row>
    <row r="92" spans="1:17" x14ac:dyDescent="0.25">
      <c r="A92">
        <v>90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203</v>
      </c>
      <c r="K92" t="s">
        <v>204</v>
      </c>
      <c r="L92">
        <v>1</v>
      </c>
      <c r="M92">
        <v>3</v>
      </c>
      <c r="N92">
        <v>194805</v>
      </c>
      <c r="O92">
        <v>12</v>
      </c>
      <c r="P92" s="1">
        <f t="shared" si="2"/>
        <v>0.25</v>
      </c>
      <c r="Q92" s="1">
        <f t="shared" si="3"/>
        <v>1.25</v>
      </c>
    </row>
    <row r="93" spans="1:17" x14ac:dyDescent="0.25">
      <c r="A93">
        <v>91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205</v>
      </c>
      <c r="K93" t="s">
        <v>206</v>
      </c>
      <c r="L93">
        <v>0</v>
      </c>
      <c r="M93">
        <v>3</v>
      </c>
      <c r="N93">
        <v>38961</v>
      </c>
      <c r="O93">
        <v>12</v>
      </c>
      <c r="P93" s="1">
        <f t="shared" si="2"/>
        <v>0.25</v>
      </c>
      <c r="Q93" s="1">
        <f t="shared" si="3"/>
        <v>0.25</v>
      </c>
    </row>
    <row r="94" spans="1:17" x14ac:dyDescent="0.25">
      <c r="A94">
        <v>92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207</v>
      </c>
      <c r="K94" t="s">
        <v>208</v>
      </c>
      <c r="L94">
        <v>2</v>
      </c>
      <c r="M94">
        <v>9</v>
      </c>
      <c r="N94">
        <v>253080</v>
      </c>
      <c r="O94">
        <v>24</v>
      </c>
      <c r="P94" s="1">
        <f t="shared" si="2"/>
        <v>0.375</v>
      </c>
      <c r="Q94" s="1">
        <f t="shared" si="3"/>
        <v>2.375</v>
      </c>
    </row>
    <row r="95" spans="1:17" x14ac:dyDescent="0.25">
      <c r="A95">
        <v>93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209</v>
      </c>
      <c r="K95" t="s">
        <v>210</v>
      </c>
      <c r="L95">
        <v>0</v>
      </c>
      <c r="M95">
        <v>2</v>
      </c>
      <c r="N95">
        <v>13542</v>
      </c>
      <c r="O95">
        <v>48</v>
      </c>
      <c r="P95" s="1">
        <f t="shared" si="2"/>
        <v>4.1666666666666664E-2</v>
      </c>
      <c r="Q95" s="1">
        <f t="shared" si="3"/>
        <v>4.1666666666666664E-2</v>
      </c>
    </row>
    <row r="96" spans="1:17" x14ac:dyDescent="0.25">
      <c r="A96">
        <v>94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211</v>
      </c>
      <c r="K96" t="s">
        <v>212</v>
      </c>
      <c r="L96">
        <v>0</v>
      </c>
      <c r="M96">
        <v>1</v>
      </c>
      <c r="N96">
        <v>6327</v>
      </c>
      <c r="O96">
        <v>48</v>
      </c>
      <c r="P96" s="1">
        <f t="shared" si="2"/>
        <v>2.0833333333333332E-2</v>
      </c>
      <c r="Q96" s="1">
        <f t="shared" si="3"/>
        <v>2.0833333333333332E-2</v>
      </c>
    </row>
    <row r="97" spans="1:17" x14ac:dyDescent="0.25">
      <c r="A97">
        <v>95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213</v>
      </c>
      <c r="K97" t="s">
        <v>214</v>
      </c>
      <c r="L97">
        <v>0</v>
      </c>
      <c r="M97">
        <v>33</v>
      </c>
      <c r="N97">
        <v>208791</v>
      </c>
      <c r="O97">
        <v>48</v>
      </c>
      <c r="P97" s="1">
        <f t="shared" si="2"/>
        <v>0.6875</v>
      </c>
      <c r="Q97" s="1">
        <f t="shared" si="3"/>
        <v>0.6875</v>
      </c>
    </row>
    <row r="98" spans="1:17" x14ac:dyDescent="0.25">
      <c r="A98">
        <v>96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215</v>
      </c>
      <c r="K98" t="s">
        <v>216</v>
      </c>
      <c r="L98">
        <v>0</v>
      </c>
      <c r="M98">
        <v>6</v>
      </c>
      <c r="N98">
        <v>37962</v>
      </c>
      <c r="O98">
        <v>48</v>
      </c>
      <c r="P98" s="1">
        <f t="shared" si="2"/>
        <v>0.125</v>
      </c>
      <c r="Q98" s="1">
        <f t="shared" si="3"/>
        <v>0.125</v>
      </c>
    </row>
    <row r="99" spans="1:17" x14ac:dyDescent="0.25">
      <c r="A99">
        <v>97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217</v>
      </c>
      <c r="K99" t="s">
        <v>218</v>
      </c>
      <c r="L99">
        <v>0</v>
      </c>
      <c r="M99">
        <v>1</v>
      </c>
      <c r="N99">
        <v>31746</v>
      </c>
      <c r="O99">
        <v>12</v>
      </c>
      <c r="P99" s="1">
        <f t="shared" si="2"/>
        <v>8.3333333333333329E-2</v>
      </c>
      <c r="Q99" s="1">
        <f t="shared" si="3"/>
        <v>8.3333333333333329E-2</v>
      </c>
    </row>
    <row r="100" spans="1:17" x14ac:dyDescent="0.25">
      <c r="A100">
        <v>98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219</v>
      </c>
      <c r="K100" t="s">
        <v>220</v>
      </c>
      <c r="L100">
        <v>0</v>
      </c>
      <c r="M100">
        <v>2</v>
      </c>
      <c r="N100">
        <v>28194</v>
      </c>
      <c r="O100">
        <v>12</v>
      </c>
      <c r="P100" s="1">
        <f t="shared" si="2"/>
        <v>0.16666666666666666</v>
      </c>
      <c r="Q100" s="1">
        <f t="shared" si="3"/>
        <v>0.16666666666666666</v>
      </c>
    </row>
    <row r="101" spans="1:17" x14ac:dyDescent="0.25">
      <c r="A101">
        <v>99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221</v>
      </c>
      <c r="K101" t="s">
        <v>222</v>
      </c>
      <c r="L101">
        <v>2</v>
      </c>
      <c r="M101">
        <v>1</v>
      </c>
      <c r="N101">
        <v>326673</v>
      </c>
      <c r="O101">
        <v>4</v>
      </c>
      <c r="P101" s="1">
        <f t="shared" si="2"/>
        <v>0.25</v>
      </c>
      <c r="Q101" s="1">
        <f t="shared" si="3"/>
        <v>2.25</v>
      </c>
    </row>
    <row r="102" spans="1:17" x14ac:dyDescent="0.25">
      <c r="A102">
        <v>100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223</v>
      </c>
      <c r="K102" t="s">
        <v>224</v>
      </c>
      <c r="L102">
        <v>9</v>
      </c>
      <c r="M102">
        <v>15</v>
      </c>
      <c r="N102">
        <v>1076922</v>
      </c>
      <c r="O102">
        <v>24</v>
      </c>
      <c r="P102" s="1">
        <f t="shared" si="2"/>
        <v>0.625</v>
      </c>
      <c r="Q102" s="1">
        <f t="shared" si="3"/>
        <v>9.625</v>
      </c>
    </row>
    <row r="103" spans="1:17" x14ac:dyDescent="0.25">
      <c r="A103">
        <v>101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225</v>
      </c>
      <c r="K103" t="s">
        <v>226</v>
      </c>
      <c r="L103">
        <v>0</v>
      </c>
      <c r="M103">
        <v>6</v>
      </c>
      <c r="N103">
        <v>84582</v>
      </c>
      <c r="O103">
        <v>12</v>
      </c>
      <c r="P103" s="1">
        <f t="shared" si="2"/>
        <v>0.5</v>
      </c>
      <c r="Q103" s="1">
        <f t="shared" si="3"/>
        <v>0.5</v>
      </c>
    </row>
    <row r="104" spans="1:17" x14ac:dyDescent="0.25">
      <c r="A104">
        <v>102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227</v>
      </c>
      <c r="K104" t="s">
        <v>228</v>
      </c>
      <c r="L104">
        <v>6</v>
      </c>
      <c r="M104">
        <v>3</v>
      </c>
      <c r="N104">
        <v>685314</v>
      </c>
      <c r="O104">
        <v>24</v>
      </c>
      <c r="P104" s="1">
        <f t="shared" si="2"/>
        <v>0.125</v>
      </c>
      <c r="Q104" s="1">
        <f t="shared" si="3"/>
        <v>6.125</v>
      </c>
    </row>
    <row r="105" spans="1:17" x14ac:dyDescent="0.25">
      <c r="A105">
        <v>103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229</v>
      </c>
      <c r="K105" t="s">
        <v>230</v>
      </c>
      <c r="L105">
        <v>5</v>
      </c>
      <c r="M105">
        <v>0</v>
      </c>
      <c r="N105">
        <v>725940</v>
      </c>
      <c r="O105">
        <v>4</v>
      </c>
      <c r="P105" s="1">
        <f t="shared" si="2"/>
        <v>0</v>
      </c>
      <c r="Q105" s="1">
        <f t="shared" si="3"/>
        <v>5</v>
      </c>
    </row>
    <row r="106" spans="1:17" x14ac:dyDescent="0.25">
      <c r="A106">
        <v>104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231</v>
      </c>
      <c r="K106" t="s">
        <v>232</v>
      </c>
      <c r="L106">
        <v>9</v>
      </c>
      <c r="M106">
        <v>9</v>
      </c>
      <c r="N106">
        <v>1048950</v>
      </c>
      <c r="O106">
        <v>24</v>
      </c>
      <c r="P106" s="1">
        <f t="shared" si="2"/>
        <v>0.375</v>
      </c>
      <c r="Q106" s="1">
        <f t="shared" si="3"/>
        <v>9.375</v>
      </c>
    </row>
    <row r="107" spans="1:17" x14ac:dyDescent="0.25">
      <c r="A107">
        <v>105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233</v>
      </c>
      <c r="K107" t="s">
        <v>234</v>
      </c>
      <c r="L107">
        <v>3</v>
      </c>
      <c r="M107">
        <v>1</v>
      </c>
      <c r="N107">
        <v>1867242</v>
      </c>
      <c r="O107">
        <v>4</v>
      </c>
      <c r="P107" s="1">
        <f t="shared" si="2"/>
        <v>0.25</v>
      </c>
      <c r="Q107" s="1">
        <f t="shared" si="3"/>
        <v>3.25</v>
      </c>
    </row>
    <row r="108" spans="1:17" x14ac:dyDescent="0.25">
      <c r="A108">
        <v>106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235</v>
      </c>
      <c r="K108" t="s">
        <v>236</v>
      </c>
      <c r="L108">
        <v>71</v>
      </c>
      <c r="M108">
        <v>3</v>
      </c>
      <c r="N108">
        <v>31263705</v>
      </c>
      <c r="O108">
        <v>24</v>
      </c>
      <c r="P108" s="1">
        <f t="shared" si="2"/>
        <v>0.125</v>
      </c>
      <c r="Q108" s="1">
        <f t="shared" si="3"/>
        <v>71.125</v>
      </c>
    </row>
    <row r="109" spans="1:17" x14ac:dyDescent="0.25">
      <c r="A109">
        <v>107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237</v>
      </c>
      <c r="K109" t="s">
        <v>238</v>
      </c>
      <c r="L109">
        <v>0</v>
      </c>
      <c r="M109">
        <v>6</v>
      </c>
      <c r="N109">
        <v>181818</v>
      </c>
      <c r="O109">
        <v>12</v>
      </c>
      <c r="P109" s="1">
        <f t="shared" si="2"/>
        <v>0.5</v>
      </c>
      <c r="Q109" s="1">
        <f t="shared" si="3"/>
        <v>0.5</v>
      </c>
    </row>
    <row r="110" spans="1:17" x14ac:dyDescent="0.25">
      <c r="A110">
        <v>108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239</v>
      </c>
      <c r="K110" t="s">
        <v>240</v>
      </c>
      <c r="L110">
        <v>4</v>
      </c>
      <c r="M110">
        <v>0</v>
      </c>
      <c r="N110">
        <v>2298144</v>
      </c>
      <c r="O110">
        <v>4</v>
      </c>
      <c r="P110" s="1">
        <f t="shared" si="2"/>
        <v>0</v>
      </c>
      <c r="Q110" s="1">
        <f t="shared" si="3"/>
        <v>4</v>
      </c>
    </row>
    <row r="111" spans="1:17" x14ac:dyDescent="0.25">
      <c r="A111">
        <v>109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241</v>
      </c>
      <c r="K111" t="s">
        <v>242</v>
      </c>
      <c r="L111">
        <v>67</v>
      </c>
      <c r="M111">
        <v>3</v>
      </c>
      <c r="N111">
        <v>29505465</v>
      </c>
      <c r="O111">
        <v>24</v>
      </c>
      <c r="P111" s="1">
        <f t="shared" si="2"/>
        <v>0.125</v>
      </c>
      <c r="Q111" s="1">
        <f t="shared" si="3"/>
        <v>67.125</v>
      </c>
    </row>
    <row r="112" spans="1:17" x14ac:dyDescent="0.25">
      <c r="A112">
        <v>110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243</v>
      </c>
      <c r="K112" t="s">
        <v>244</v>
      </c>
      <c r="L112">
        <v>1</v>
      </c>
      <c r="M112">
        <v>11</v>
      </c>
      <c r="N112">
        <v>696969</v>
      </c>
      <c r="O112">
        <v>12</v>
      </c>
      <c r="P112" s="1">
        <f t="shared" si="2"/>
        <v>0.91666666666666663</v>
      </c>
      <c r="Q112" s="1">
        <f t="shared" si="3"/>
        <v>1.9166666666666665</v>
      </c>
    </row>
    <row r="113" spans="1:17" x14ac:dyDescent="0.25">
      <c r="A113">
        <v>111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245</v>
      </c>
      <c r="K113" t="s">
        <v>246</v>
      </c>
      <c r="L113">
        <v>2</v>
      </c>
      <c r="M113">
        <v>1</v>
      </c>
      <c r="N113">
        <v>1292706</v>
      </c>
      <c r="O113">
        <v>4</v>
      </c>
      <c r="P113" s="1">
        <f t="shared" si="2"/>
        <v>0.25</v>
      </c>
      <c r="Q113" s="1">
        <f t="shared" si="3"/>
        <v>2.25</v>
      </c>
    </row>
    <row r="114" spans="1:17" x14ac:dyDescent="0.25">
      <c r="A114">
        <v>112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247</v>
      </c>
      <c r="K114" t="s">
        <v>248</v>
      </c>
      <c r="L114">
        <v>9</v>
      </c>
      <c r="M114">
        <v>17</v>
      </c>
      <c r="N114">
        <v>4267395</v>
      </c>
      <c r="O114">
        <v>24</v>
      </c>
      <c r="P114" s="1">
        <f t="shared" si="2"/>
        <v>0.70833333333333337</v>
      </c>
      <c r="Q114" s="1">
        <f t="shared" si="3"/>
        <v>9.7083333333333339</v>
      </c>
    </row>
    <row r="115" spans="1:17" x14ac:dyDescent="0.25">
      <c r="A115">
        <v>113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249</v>
      </c>
      <c r="K115" t="s">
        <v>250</v>
      </c>
      <c r="L115">
        <v>3</v>
      </c>
      <c r="M115">
        <v>9</v>
      </c>
      <c r="N115">
        <v>1363635</v>
      </c>
      <c r="O115">
        <v>12</v>
      </c>
      <c r="P115" s="1">
        <f t="shared" si="2"/>
        <v>0.75</v>
      </c>
      <c r="Q115" s="1">
        <f t="shared" si="3"/>
        <v>3.75</v>
      </c>
    </row>
    <row r="116" spans="1:17" x14ac:dyDescent="0.25">
      <c r="A116">
        <v>114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251</v>
      </c>
      <c r="K116" t="s">
        <v>252</v>
      </c>
      <c r="L116">
        <v>1</v>
      </c>
      <c r="M116">
        <v>0</v>
      </c>
      <c r="N116">
        <v>574536</v>
      </c>
      <c r="O116">
        <v>4</v>
      </c>
      <c r="P116" s="1">
        <f t="shared" si="2"/>
        <v>0</v>
      </c>
      <c r="Q116" s="1">
        <f t="shared" si="3"/>
        <v>1</v>
      </c>
    </row>
    <row r="117" spans="1:17" x14ac:dyDescent="0.25">
      <c r="A117">
        <v>115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253</v>
      </c>
      <c r="K117" t="s">
        <v>254</v>
      </c>
      <c r="L117">
        <v>69</v>
      </c>
      <c r="M117">
        <v>5</v>
      </c>
      <c r="N117">
        <v>30421215</v>
      </c>
      <c r="O117">
        <v>24</v>
      </c>
      <c r="P117" s="1">
        <f t="shared" si="2"/>
        <v>0.20833333333333334</v>
      </c>
      <c r="Q117" s="1">
        <f t="shared" si="3"/>
        <v>69.208333333333329</v>
      </c>
    </row>
    <row r="118" spans="1:17" x14ac:dyDescent="0.25">
      <c r="A118">
        <v>116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255</v>
      </c>
      <c r="K118" t="s">
        <v>256</v>
      </c>
      <c r="L118">
        <v>1</v>
      </c>
      <c r="M118">
        <v>11</v>
      </c>
      <c r="N118">
        <v>696969</v>
      </c>
      <c r="O118">
        <v>12</v>
      </c>
      <c r="P118" s="1">
        <f t="shared" si="2"/>
        <v>0.91666666666666663</v>
      </c>
      <c r="Q118" s="1">
        <f t="shared" si="3"/>
        <v>1.9166666666666665</v>
      </c>
    </row>
    <row r="119" spans="1:17" x14ac:dyDescent="0.25">
      <c r="A119">
        <v>117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257</v>
      </c>
      <c r="K119" t="s">
        <v>258</v>
      </c>
      <c r="L119">
        <v>18</v>
      </c>
      <c r="M119">
        <v>2</v>
      </c>
      <c r="N119">
        <v>10628916</v>
      </c>
      <c r="O119">
        <v>4</v>
      </c>
      <c r="P119" s="1">
        <f t="shared" si="2"/>
        <v>0.5</v>
      </c>
      <c r="Q119" s="1">
        <f t="shared" si="3"/>
        <v>18.5</v>
      </c>
    </row>
    <row r="120" spans="1:17" x14ac:dyDescent="0.25">
      <c r="A120">
        <v>118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259</v>
      </c>
      <c r="K120" t="s">
        <v>260</v>
      </c>
      <c r="L120">
        <v>20</v>
      </c>
      <c r="M120">
        <v>1</v>
      </c>
      <c r="N120">
        <v>8809515</v>
      </c>
      <c r="O120">
        <v>24</v>
      </c>
      <c r="P120" s="1">
        <f t="shared" si="2"/>
        <v>4.1666666666666664E-2</v>
      </c>
      <c r="Q120" s="1">
        <f t="shared" si="3"/>
        <v>20.041666666666668</v>
      </c>
    </row>
    <row r="121" spans="1:17" x14ac:dyDescent="0.25">
      <c r="A121">
        <v>119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261</v>
      </c>
      <c r="K121" t="s">
        <v>262</v>
      </c>
      <c r="L121">
        <v>3</v>
      </c>
      <c r="M121">
        <v>1</v>
      </c>
      <c r="N121">
        <v>1121211</v>
      </c>
      <c r="O121">
        <v>12</v>
      </c>
      <c r="P121" s="1">
        <f t="shared" si="2"/>
        <v>8.3333333333333329E-2</v>
      </c>
      <c r="Q121" s="1">
        <f t="shared" si="3"/>
        <v>3.0833333333333335</v>
      </c>
    </row>
    <row r="122" spans="1:17" x14ac:dyDescent="0.25">
      <c r="A122">
        <v>120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263</v>
      </c>
      <c r="K122" t="s">
        <v>264</v>
      </c>
      <c r="L122">
        <v>21</v>
      </c>
      <c r="M122">
        <v>12</v>
      </c>
      <c r="N122">
        <v>11111544</v>
      </c>
      <c r="O122">
        <v>24</v>
      </c>
      <c r="P122" s="1">
        <f t="shared" si="2"/>
        <v>0.5</v>
      </c>
      <c r="Q122" s="1">
        <f t="shared" si="3"/>
        <v>21.5</v>
      </c>
    </row>
    <row r="123" spans="1:17" x14ac:dyDescent="0.25">
      <c r="A123">
        <v>121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265</v>
      </c>
      <c r="K123" t="s">
        <v>266</v>
      </c>
      <c r="L123">
        <v>35</v>
      </c>
      <c r="M123">
        <v>3</v>
      </c>
      <c r="N123">
        <v>18153162</v>
      </c>
      <c r="O123">
        <v>24</v>
      </c>
      <c r="P123" s="1">
        <f t="shared" si="2"/>
        <v>0.125</v>
      </c>
      <c r="Q123" s="1">
        <f t="shared" si="3"/>
        <v>35.125</v>
      </c>
    </row>
    <row r="124" spans="1:17" x14ac:dyDescent="0.25">
      <c r="A124">
        <v>122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267</v>
      </c>
      <c r="K124" t="s">
        <v>268</v>
      </c>
      <c r="L124">
        <v>25</v>
      </c>
      <c r="M124">
        <v>6</v>
      </c>
      <c r="N124">
        <v>13049604</v>
      </c>
      <c r="O124">
        <v>24</v>
      </c>
      <c r="P124" s="1">
        <f t="shared" si="2"/>
        <v>0.25</v>
      </c>
      <c r="Q124" s="1">
        <f t="shared" si="3"/>
        <v>25.25</v>
      </c>
    </row>
    <row r="125" spans="1:17" x14ac:dyDescent="0.25">
      <c r="A125">
        <v>123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269</v>
      </c>
      <c r="K125" t="s">
        <v>270</v>
      </c>
      <c r="L125">
        <v>0</v>
      </c>
      <c r="M125">
        <v>5</v>
      </c>
      <c r="N125">
        <v>187590</v>
      </c>
      <c r="O125">
        <v>12</v>
      </c>
      <c r="P125" s="1">
        <f t="shared" si="2"/>
        <v>0.41666666666666669</v>
      </c>
      <c r="Q125" s="1">
        <f t="shared" si="3"/>
        <v>0.41666666666666669</v>
      </c>
    </row>
    <row r="126" spans="1:17" x14ac:dyDescent="0.25">
      <c r="A126">
        <v>124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271</v>
      </c>
      <c r="K126" t="s">
        <v>272</v>
      </c>
      <c r="L126">
        <v>0</v>
      </c>
      <c r="M126">
        <v>0</v>
      </c>
      <c r="N126">
        <v>0</v>
      </c>
      <c r="O126">
        <v>12</v>
      </c>
      <c r="P126" s="1">
        <f t="shared" si="2"/>
        <v>0</v>
      </c>
      <c r="Q126" s="1">
        <f t="shared" si="3"/>
        <v>0</v>
      </c>
    </row>
    <row r="127" spans="1:17" x14ac:dyDescent="0.25">
      <c r="A127">
        <v>125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273</v>
      </c>
      <c r="K127" t="s">
        <v>274</v>
      </c>
      <c r="L127">
        <v>0</v>
      </c>
      <c r="M127">
        <v>5</v>
      </c>
      <c r="N127">
        <v>187590</v>
      </c>
      <c r="O127">
        <v>12</v>
      </c>
      <c r="P127" s="1">
        <f t="shared" si="2"/>
        <v>0.41666666666666669</v>
      </c>
      <c r="Q127" s="1">
        <f t="shared" si="3"/>
        <v>0.41666666666666669</v>
      </c>
    </row>
    <row r="128" spans="1:17" x14ac:dyDescent="0.25">
      <c r="A128">
        <v>126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275</v>
      </c>
      <c r="K128" t="s">
        <v>276</v>
      </c>
      <c r="L128">
        <v>1</v>
      </c>
      <c r="M128">
        <v>4</v>
      </c>
      <c r="N128">
        <v>607392</v>
      </c>
      <c r="O128">
        <v>12</v>
      </c>
      <c r="P128" s="1">
        <f t="shared" si="2"/>
        <v>0.33333333333333331</v>
      </c>
      <c r="Q128" s="1">
        <f t="shared" si="3"/>
        <v>1.3333333333333333</v>
      </c>
    </row>
    <row r="129" spans="1:17" x14ac:dyDescent="0.25">
      <c r="A129">
        <v>127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277</v>
      </c>
      <c r="K129" t="s">
        <v>278</v>
      </c>
      <c r="L129">
        <v>0</v>
      </c>
      <c r="M129">
        <v>4</v>
      </c>
      <c r="N129">
        <v>120768</v>
      </c>
      <c r="O129">
        <v>12</v>
      </c>
      <c r="P129" s="1">
        <f t="shared" si="2"/>
        <v>0.33333333333333331</v>
      </c>
      <c r="Q129" s="1">
        <f t="shared" si="3"/>
        <v>0.33333333333333331</v>
      </c>
    </row>
    <row r="130" spans="1:17" x14ac:dyDescent="0.25">
      <c r="A130">
        <v>128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279</v>
      </c>
      <c r="K130" t="s">
        <v>280</v>
      </c>
      <c r="L130">
        <v>1</v>
      </c>
      <c r="M130">
        <v>0</v>
      </c>
      <c r="N130">
        <v>297924</v>
      </c>
      <c r="O130">
        <v>4</v>
      </c>
      <c r="P130" s="1">
        <f t="shared" si="2"/>
        <v>0</v>
      </c>
      <c r="Q130" s="1">
        <f t="shared" si="3"/>
        <v>1</v>
      </c>
    </row>
    <row r="131" spans="1:17" x14ac:dyDescent="0.25">
      <c r="A131">
        <v>129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281</v>
      </c>
      <c r="K131" t="s">
        <v>282</v>
      </c>
      <c r="L131">
        <v>3</v>
      </c>
      <c r="M131">
        <v>17</v>
      </c>
      <c r="N131">
        <v>365523</v>
      </c>
      <c r="O131">
        <v>24</v>
      </c>
      <c r="P131" s="1">
        <f t="shared" si="2"/>
        <v>0.70833333333333337</v>
      </c>
      <c r="Q131" s="1">
        <f t="shared" si="3"/>
        <v>3.7083333333333335</v>
      </c>
    </row>
    <row r="132" spans="1:17" x14ac:dyDescent="0.25">
      <c r="A132">
        <v>130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283</v>
      </c>
      <c r="K132" t="s">
        <v>284</v>
      </c>
      <c r="L132">
        <v>3</v>
      </c>
      <c r="M132">
        <v>0</v>
      </c>
      <c r="N132">
        <v>531468</v>
      </c>
      <c r="O132">
        <v>12</v>
      </c>
      <c r="P132" s="1">
        <f t="shared" ref="P132:P193" si="4">M132/O132</f>
        <v>0</v>
      </c>
      <c r="Q132" s="1">
        <f t="shared" ref="Q132:Q193" si="5">L132+P132</f>
        <v>3</v>
      </c>
    </row>
    <row r="133" spans="1:17" x14ac:dyDescent="0.25">
      <c r="A133">
        <v>131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285</v>
      </c>
      <c r="K133" t="s">
        <v>286</v>
      </c>
      <c r="L133">
        <v>0</v>
      </c>
      <c r="M133">
        <v>3</v>
      </c>
      <c r="N133">
        <v>47952</v>
      </c>
      <c r="O133">
        <v>12</v>
      </c>
      <c r="P133" s="1">
        <f t="shared" si="4"/>
        <v>0.25</v>
      </c>
      <c r="Q133" s="1">
        <f t="shared" si="5"/>
        <v>0.25</v>
      </c>
    </row>
    <row r="134" spans="1:17" x14ac:dyDescent="0.25">
      <c r="A134">
        <v>132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287</v>
      </c>
      <c r="K134" t="s">
        <v>288</v>
      </c>
      <c r="L134">
        <v>2</v>
      </c>
      <c r="M134">
        <v>9</v>
      </c>
      <c r="N134">
        <v>487179</v>
      </c>
      <c r="O134">
        <v>12</v>
      </c>
      <c r="P134" s="1">
        <f t="shared" si="4"/>
        <v>0.75</v>
      </c>
      <c r="Q134" s="1">
        <f t="shared" si="5"/>
        <v>2.75</v>
      </c>
    </row>
    <row r="135" spans="1:17" x14ac:dyDescent="0.25">
      <c r="A135">
        <v>133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289</v>
      </c>
      <c r="K135" t="s">
        <v>290</v>
      </c>
      <c r="L135">
        <v>0</v>
      </c>
      <c r="M135">
        <v>1</v>
      </c>
      <c r="N135">
        <v>30192</v>
      </c>
      <c r="O135">
        <v>12</v>
      </c>
      <c r="P135" s="1">
        <f t="shared" si="4"/>
        <v>8.3333333333333329E-2</v>
      </c>
      <c r="Q135" s="1">
        <f t="shared" si="5"/>
        <v>8.3333333333333329E-2</v>
      </c>
    </row>
    <row r="136" spans="1:17" x14ac:dyDescent="0.25">
      <c r="A136">
        <v>134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291</v>
      </c>
      <c r="K136" t="s">
        <v>292</v>
      </c>
      <c r="L136">
        <v>6</v>
      </c>
      <c r="M136">
        <v>3</v>
      </c>
      <c r="N136">
        <v>2010987</v>
      </c>
      <c r="O136">
        <v>4</v>
      </c>
      <c r="P136" s="1">
        <f t="shared" si="4"/>
        <v>0.75</v>
      </c>
      <c r="Q136" s="1">
        <f t="shared" si="5"/>
        <v>6.75</v>
      </c>
    </row>
    <row r="137" spans="1:17" x14ac:dyDescent="0.25">
      <c r="A137">
        <v>135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293</v>
      </c>
      <c r="K137" t="s">
        <v>294</v>
      </c>
      <c r="L137">
        <v>0</v>
      </c>
      <c r="M137">
        <v>6</v>
      </c>
      <c r="N137">
        <v>26640</v>
      </c>
      <c r="O137">
        <v>24</v>
      </c>
      <c r="P137" s="1">
        <f t="shared" si="4"/>
        <v>0.25</v>
      </c>
      <c r="Q137" s="1">
        <f t="shared" si="5"/>
        <v>0.25</v>
      </c>
    </row>
    <row r="138" spans="1:17" x14ac:dyDescent="0.25">
      <c r="A138">
        <v>136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295</v>
      </c>
      <c r="K138" t="s">
        <v>296</v>
      </c>
      <c r="L138">
        <v>1</v>
      </c>
      <c r="M138">
        <v>9</v>
      </c>
      <c r="N138">
        <v>335664</v>
      </c>
      <c r="O138">
        <v>12</v>
      </c>
      <c r="P138" s="1">
        <f t="shared" si="4"/>
        <v>0.75</v>
      </c>
      <c r="Q138" s="1">
        <f t="shared" si="5"/>
        <v>1.75</v>
      </c>
    </row>
    <row r="139" spans="1:17" x14ac:dyDescent="0.25">
      <c r="A139">
        <v>137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297</v>
      </c>
      <c r="K139" t="s">
        <v>298</v>
      </c>
      <c r="L139">
        <v>0</v>
      </c>
      <c r="M139">
        <v>8</v>
      </c>
      <c r="N139">
        <v>127872</v>
      </c>
      <c r="O139">
        <v>12</v>
      </c>
      <c r="P139" s="1">
        <f t="shared" si="4"/>
        <v>0.66666666666666663</v>
      </c>
      <c r="Q139" s="1">
        <f t="shared" si="5"/>
        <v>0.66666666666666663</v>
      </c>
    </row>
    <row r="140" spans="1:17" x14ac:dyDescent="0.25">
      <c r="A140">
        <v>138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299</v>
      </c>
      <c r="K140" t="s">
        <v>300</v>
      </c>
      <c r="L140">
        <v>5</v>
      </c>
      <c r="M140">
        <v>0</v>
      </c>
      <c r="N140">
        <v>1811520</v>
      </c>
      <c r="O140">
        <v>12</v>
      </c>
      <c r="P140" s="1">
        <f t="shared" si="4"/>
        <v>0</v>
      </c>
      <c r="Q140" s="1">
        <f t="shared" si="5"/>
        <v>5</v>
      </c>
    </row>
    <row r="141" spans="1:17" x14ac:dyDescent="0.25">
      <c r="A141">
        <v>139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301</v>
      </c>
      <c r="K141" t="s">
        <v>302</v>
      </c>
      <c r="L141">
        <v>0</v>
      </c>
      <c r="M141">
        <v>2</v>
      </c>
      <c r="N141">
        <v>148962</v>
      </c>
      <c r="O141">
        <v>4</v>
      </c>
      <c r="P141" s="1">
        <f t="shared" si="4"/>
        <v>0.5</v>
      </c>
      <c r="Q141" s="1">
        <f t="shared" si="5"/>
        <v>0.5</v>
      </c>
    </row>
    <row r="142" spans="1:17" x14ac:dyDescent="0.25">
      <c r="A142">
        <v>140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303</v>
      </c>
      <c r="K142" t="s">
        <v>304</v>
      </c>
      <c r="L142">
        <v>0</v>
      </c>
      <c r="M142">
        <v>14</v>
      </c>
      <c r="N142">
        <v>62160</v>
      </c>
      <c r="O142">
        <v>24</v>
      </c>
      <c r="P142" s="1">
        <f t="shared" si="4"/>
        <v>0.58333333333333337</v>
      </c>
      <c r="Q142" s="1">
        <f t="shared" si="5"/>
        <v>0.58333333333333337</v>
      </c>
    </row>
    <row r="143" spans="1:17" x14ac:dyDescent="0.25">
      <c r="A143">
        <v>141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305</v>
      </c>
      <c r="K143" t="s">
        <v>306</v>
      </c>
      <c r="L143">
        <v>15</v>
      </c>
      <c r="M143">
        <v>3</v>
      </c>
      <c r="N143">
        <v>2925072</v>
      </c>
      <c r="O143">
        <v>12</v>
      </c>
      <c r="P143" s="1">
        <f t="shared" si="4"/>
        <v>0.25</v>
      </c>
      <c r="Q143" s="1">
        <f t="shared" si="5"/>
        <v>15.25</v>
      </c>
    </row>
    <row r="144" spans="1:17" x14ac:dyDescent="0.25">
      <c r="A144">
        <v>142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307</v>
      </c>
      <c r="K144" t="s">
        <v>308</v>
      </c>
      <c r="L144">
        <v>3</v>
      </c>
      <c r="M144">
        <v>18</v>
      </c>
      <c r="N144">
        <v>2747250</v>
      </c>
      <c r="O144">
        <v>24</v>
      </c>
      <c r="P144" s="1">
        <f t="shared" si="4"/>
        <v>0.75</v>
      </c>
      <c r="Q144" s="1">
        <f t="shared" si="5"/>
        <v>3.75</v>
      </c>
    </row>
    <row r="145" spans="1:17" x14ac:dyDescent="0.25">
      <c r="A145">
        <v>143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309</v>
      </c>
      <c r="K145" t="s">
        <v>310</v>
      </c>
      <c r="L145">
        <v>7</v>
      </c>
      <c r="M145">
        <v>3</v>
      </c>
      <c r="N145">
        <v>994671</v>
      </c>
      <c r="O145">
        <v>12</v>
      </c>
      <c r="P145" s="1">
        <f t="shared" si="4"/>
        <v>0.25</v>
      </c>
      <c r="Q145" s="1">
        <f t="shared" si="5"/>
        <v>7.25</v>
      </c>
    </row>
    <row r="146" spans="1:17" x14ac:dyDescent="0.25">
      <c r="A146">
        <v>144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311</v>
      </c>
      <c r="K146" t="s">
        <v>312</v>
      </c>
      <c r="L146">
        <v>5</v>
      </c>
      <c r="M146">
        <v>0</v>
      </c>
      <c r="N146">
        <v>1205460</v>
      </c>
      <c r="O146">
        <v>12</v>
      </c>
      <c r="P146" s="1">
        <f t="shared" si="4"/>
        <v>0</v>
      </c>
      <c r="Q146" s="1">
        <f t="shared" si="5"/>
        <v>5</v>
      </c>
    </row>
    <row r="147" spans="1:17" x14ac:dyDescent="0.25">
      <c r="A147">
        <v>145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313</v>
      </c>
      <c r="K147" t="s">
        <v>314</v>
      </c>
      <c r="L147">
        <v>1</v>
      </c>
      <c r="M147">
        <v>2</v>
      </c>
      <c r="N147">
        <v>391608</v>
      </c>
      <c r="O147">
        <v>4</v>
      </c>
      <c r="P147" s="1">
        <f t="shared" si="4"/>
        <v>0.5</v>
      </c>
      <c r="Q147" s="1">
        <f t="shared" si="5"/>
        <v>1.5</v>
      </c>
    </row>
    <row r="148" spans="1:17" x14ac:dyDescent="0.25">
      <c r="A148">
        <v>146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315</v>
      </c>
      <c r="K148" t="s">
        <v>316</v>
      </c>
      <c r="L148">
        <v>0</v>
      </c>
      <c r="M148">
        <v>4</v>
      </c>
      <c r="N148">
        <v>219780</v>
      </c>
      <c r="O148">
        <v>6</v>
      </c>
      <c r="P148" s="1">
        <f t="shared" si="4"/>
        <v>0.66666666666666663</v>
      </c>
      <c r="Q148" s="1">
        <f t="shared" si="5"/>
        <v>0.66666666666666663</v>
      </c>
    </row>
    <row r="149" spans="1:17" x14ac:dyDescent="0.25">
      <c r="A149">
        <v>147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317</v>
      </c>
      <c r="K149" t="s">
        <v>318</v>
      </c>
      <c r="L149">
        <v>1</v>
      </c>
      <c r="M149">
        <v>15</v>
      </c>
      <c r="N149">
        <v>489177</v>
      </c>
      <c r="O149">
        <v>24</v>
      </c>
      <c r="P149" s="1">
        <f t="shared" si="4"/>
        <v>0.625</v>
      </c>
      <c r="Q149" s="1">
        <f t="shared" si="5"/>
        <v>1.625</v>
      </c>
    </row>
    <row r="150" spans="1:17" x14ac:dyDescent="0.25">
      <c r="A150">
        <v>148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319</v>
      </c>
      <c r="K150" t="s">
        <v>320</v>
      </c>
      <c r="L150">
        <v>0</v>
      </c>
      <c r="M150">
        <v>2</v>
      </c>
      <c r="N150">
        <v>120990</v>
      </c>
      <c r="O150">
        <v>6</v>
      </c>
      <c r="P150" s="1">
        <f t="shared" si="4"/>
        <v>0.33333333333333331</v>
      </c>
      <c r="Q150" s="1">
        <f t="shared" si="5"/>
        <v>0.33333333333333331</v>
      </c>
    </row>
    <row r="151" spans="1:17" x14ac:dyDescent="0.25">
      <c r="A151">
        <v>149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321</v>
      </c>
      <c r="K151" t="s">
        <v>322</v>
      </c>
      <c r="L151">
        <v>54</v>
      </c>
      <c r="M151">
        <v>10</v>
      </c>
      <c r="N151">
        <v>12635574</v>
      </c>
      <c r="O151">
        <v>12</v>
      </c>
      <c r="P151" s="1">
        <f t="shared" si="4"/>
        <v>0.83333333333333337</v>
      </c>
      <c r="Q151" s="1">
        <f t="shared" si="5"/>
        <v>54.833333333333336</v>
      </c>
    </row>
    <row r="152" spans="1:17" x14ac:dyDescent="0.25">
      <c r="A152">
        <v>150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323</v>
      </c>
      <c r="K152" t="s">
        <v>324</v>
      </c>
      <c r="L152">
        <v>34</v>
      </c>
      <c r="M152">
        <v>10</v>
      </c>
      <c r="N152">
        <v>6681312</v>
      </c>
      <c r="O152">
        <v>12</v>
      </c>
      <c r="P152" s="1">
        <f t="shared" si="4"/>
        <v>0.83333333333333337</v>
      </c>
      <c r="Q152" s="1">
        <f t="shared" si="5"/>
        <v>34.833333333333336</v>
      </c>
    </row>
    <row r="153" spans="1:17" x14ac:dyDescent="0.25">
      <c r="A153">
        <v>151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325</v>
      </c>
      <c r="K153" t="s">
        <v>326</v>
      </c>
      <c r="L153">
        <v>50</v>
      </c>
      <c r="M153">
        <v>2</v>
      </c>
      <c r="N153">
        <v>9622368</v>
      </c>
      <c r="O153">
        <v>12</v>
      </c>
      <c r="P153" s="1">
        <f t="shared" si="4"/>
        <v>0.16666666666666666</v>
      </c>
      <c r="Q153" s="1">
        <f t="shared" si="5"/>
        <v>50.166666666666664</v>
      </c>
    </row>
    <row r="154" spans="1:17" x14ac:dyDescent="0.25">
      <c r="A154">
        <v>152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327</v>
      </c>
      <c r="K154" t="s">
        <v>328</v>
      </c>
      <c r="L154">
        <v>33</v>
      </c>
      <c r="M154">
        <v>4</v>
      </c>
      <c r="N154">
        <v>8880000</v>
      </c>
      <c r="O154">
        <v>12</v>
      </c>
      <c r="P154" s="1">
        <f t="shared" si="4"/>
        <v>0.33333333333333331</v>
      </c>
      <c r="Q154" s="1">
        <f t="shared" si="5"/>
        <v>33.333333333333336</v>
      </c>
    </row>
    <row r="155" spans="1:17" x14ac:dyDescent="0.25">
      <c r="A155">
        <v>153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329</v>
      </c>
      <c r="K155" t="s">
        <v>330</v>
      </c>
      <c r="L155">
        <v>36</v>
      </c>
      <c r="M155">
        <v>2</v>
      </c>
      <c r="N155">
        <v>9267834</v>
      </c>
      <c r="O155">
        <v>6</v>
      </c>
      <c r="P155" s="1">
        <f t="shared" si="4"/>
        <v>0.33333333333333331</v>
      </c>
      <c r="Q155" s="1">
        <f t="shared" si="5"/>
        <v>36.333333333333336</v>
      </c>
    </row>
    <row r="156" spans="1:17" x14ac:dyDescent="0.25">
      <c r="A156">
        <v>154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331</v>
      </c>
      <c r="K156" t="s">
        <v>332</v>
      </c>
      <c r="L156">
        <v>28</v>
      </c>
      <c r="M156">
        <v>4</v>
      </c>
      <c r="N156">
        <v>5019420</v>
      </c>
      <c r="O156">
        <v>12</v>
      </c>
      <c r="P156" s="1">
        <f t="shared" si="4"/>
        <v>0.33333333333333331</v>
      </c>
      <c r="Q156" s="1">
        <f t="shared" si="5"/>
        <v>28.333333333333332</v>
      </c>
    </row>
    <row r="157" spans="1:17" x14ac:dyDescent="0.25">
      <c r="A157">
        <v>155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333</v>
      </c>
      <c r="K157" t="s">
        <v>334</v>
      </c>
      <c r="L157">
        <v>9</v>
      </c>
      <c r="M157">
        <v>2</v>
      </c>
      <c r="N157">
        <v>2847150</v>
      </c>
      <c r="O157">
        <v>4</v>
      </c>
      <c r="P157" s="1">
        <f t="shared" si="4"/>
        <v>0.5</v>
      </c>
      <c r="Q157" s="1">
        <f t="shared" si="5"/>
        <v>9.5</v>
      </c>
    </row>
    <row r="158" spans="1:17" x14ac:dyDescent="0.25">
      <c r="A158">
        <v>156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335</v>
      </c>
      <c r="K158" t="s">
        <v>336</v>
      </c>
      <c r="L158">
        <v>1394</v>
      </c>
      <c r="M158">
        <v>7</v>
      </c>
      <c r="N158">
        <v>371517000</v>
      </c>
      <c r="O158">
        <v>12</v>
      </c>
      <c r="P158" s="1">
        <f t="shared" si="4"/>
        <v>0.58333333333333337</v>
      </c>
      <c r="Q158" s="1">
        <f t="shared" si="5"/>
        <v>1394.5833333333333</v>
      </c>
    </row>
    <row r="159" spans="1:17" x14ac:dyDescent="0.25">
      <c r="A159">
        <v>157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337</v>
      </c>
      <c r="K159" t="s">
        <v>338</v>
      </c>
      <c r="L159">
        <v>196</v>
      </c>
      <c r="M159">
        <v>1</v>
      </c>
      <c r="N159">
        <v>50037801</v>
      </c>
      <c r="O159">
        <v>6</v>
      </c>
      <c r="P159" s="1">
        <f t="shared" si="4"/>
        <v>0.16666666666666666</v>
      </c>
      <c r="Q159" s="1">
        <f t="shared" si="5"/>
        <v>196.16666666666666</v>
      </c>
    </row>
    <row r="160" spans="1:17" x14ac:dyDescent="0.25">
      <c r="A160">
        <v>158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339</v>
      </c>
      <c r="K160" t="s">
        <v>340</v>
      </c>
      <c r="L160">
        <v>13</v>
      </c>
      <c r="M160">
        <v>3</v>
      </c>
      <c r="N160">
        <v>2347317</v>
      </c>
      <c r="O160">
        <v>12</v>
      </c>
      <c r="P160" s="1">
        <f t="shared" si="4"/>
        <v>0.25</v>
      </c>
      <c r="Q160" s="1">
        <f t="shared" si="5"/>
        <v>13.25</v>
      </c>
    </row>
    <row r="161" spans="1:17" x14ac:dyDescent="0.25">
      <c r="A161">
        <v>159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341</v>
      </c>
      <c r="K161" t="s">
        <v>342</v>
      </c>
      <c r="L161">
        <v>61</v>
      </c>
      <c r="M161">
        <v>1</v>
      </c>
      <c r="N161">
        <v>18356625</v>
      </c>
      <c r="O161">
        <v>4</v>
      </c>
      <c r="P161" s="1">
        <f t="shared" si="4"/>
        <v>0.25</v>
      </c>
      <c r="Q161" s="1">
        <f t="shared" si="5"/>
        <v>61.25</v>
      </c>
    </row>
    <row r="162" spans="1:17" x14ac:dyDescent="0.25">
      <c r="A162">
        <v>160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343</v>
      </c>
      <c r="K162" t="s">
        <v>344</v>
      </c>
      <c r="L162">
        <v>49</v>
      </c>
      <c r="M162">
        <v>1</v>
      </c>
      <c r="N162">
        <v>12683526</v>
      </c>
      <c r="O162">
        <v>12</v>
      </c>
      <c r="P162" s="1">
        <f t="shared" si="4"/>
        <v>8.3333333333333329E-2</v>
      </c>
      <c r="Q162" s="1">
        <f t="shared" si="5"/>
        <v>49.083333333333336</v>
      </c>
    </row>
    <row r="163" spans="1:17" x14ac:dyDescent="0.25">
      <c r="A163">
        <v>161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345</v>
      </c>
      <c r="K163" t="s">
        <v>346</v>
      </c>
      <c r="L163">
        <v>1</v>
      </c>
      <c r="M163">
        <v>11</v>
      </c>
      <c r="N163">
        <v>495282</v>
      </c>
      <c r="O163">
        <v>12</v>
      </c>
      <c r="P163" s="1">
        <f t="shared" si="4"/>
        <v>0.91666666666666663</v>
      </c>
      <c r="Q163" s="1">
        <f t="shared" si="5"/>
        <v>1.9166666666666665</v>
      </c>
    </row>
    <row r="164" spans="1:17" x14ac:dyDescent="0.25">
      <c r="A164">
        <v>162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347</v>
      </c>
      <c r="K164" t="s">
        <v>348</v>
      </c>
      <c r="L164">
        <v>6</v>
      </c>
      <c r="M164">
        <v>3</v>
      </c>
      <c r="N164">
        <v>3593403</v>
      </c>
      <c r="O164">
        <v>4</v>
      </c>
      <c r="P164" s="1">
        <f t="shared" si="4"/>
        <v>0.75</v>
      </c>
      <c r="Q164" s="1">
        <f t="shared" si="5"/>
        <v>6.75</v>
      </c>
    </row>
    <row r="165" spans="1:17" x14ac:dyDescent="0.25">
      <c r="A165">
        <v>163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349</v>
      </c>
      <c r="K165" t="s">
        <v>350</v>
      </c>
      <c r="L165">
        <v>4</v>
      </c>
      <c r="M165">
        <v>14</v>
      </c>
      <c r="N165">
        <v>842490</v>
      </c>
      <c r="O165">
        <v>24</v>
      </c>
      <c r="P165" s="1">
        <f t="shared" si="4"/>
        <v>0.58333333333333337</v>
      </c>
      <c r="Q165" s="1">
        <f t="shared" si="5"/>
        <v>4.583333333333333</v>
      </c>
    </row>
    <row r="166" spans="1:17" x14ac:dyDescent="0.25">
      <c r="A166">
        <v>164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351</v>
      </c>
      <c r="K166" t="s">
        <v>352</v>
      </c>
      <c r="L166">
        <v>5</v>
      </c>
      <c r="M166">
        <v>3</v>
      </c>
      <c r="N166">
        <v>1027971</v>
      </c>
      <c r="O166">
        <v>12</v>
      </c>
      <c r="P166" s="1">
        <f t="shared" si="4"/>
        <v>0.25</v>
      </c>
      <c r="Q166" s="1">
        <f t="shared" si="5"/>
        <v>5.25</v>
      </c>
    </row>
    <row r="167" spans="1:17" x14ac:dyDescent="0.25">
      <c r="A167">
        <v>165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353</v>
      </c>
      <c r="K167" t="s">
        <v>354</v>
      </c>
      <c r="L167">
        <v>4</v>
      </c>
      <c r="M167">
        <v>0</v>
      </c>
      <c r="N167">
        <v>735264</v>
      </c>
      <c r="O167">
        <v>24</v>
      </c>
      <c r="P167" s="1">
        <f t="shared" si="4"/>
        <v>0</v>
      </c>
      <c r="Q167" s="1">
        <f t="shared" si="5"/>
        <v>4</v>
      </c>
    </row>
    <row r="168" spans="1:17" x14ac:dyDescent="0.25">
      <c r="A168">
        <v>166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355</v>
      </c>
      <c r="K168" t="s">
        <v>356</v>
      </c>
      <c r="L168">
        <v>1</v>
      </c>
      <c r="M168">
        <v>0</v>
      </c>
      <c r="N168">
        <v>195804</v>
      </c>
      <c r="O168">
        <v>12</v>
      </c>
      <c r="P168" s="1">
        <f t="shared" si="4"/>
        <v>0</v>
      </c>
      <c r="Q168" s="1">
        <f t="shared" si="5"/>
        <v>1</v>
      </c>
    </row>
    <row r="169" spans="1:17" x14ac:dyDescent="0.25">
      <c r="A169">
        <v>167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357</v>
      </c>
      <c r="K169" t="s">
        <v>358</v>
      </c>
      <c r="L169">
        <v>2</v>
      </c>
      <c r="M169">
        <v>19</v>
      </c>
      <c r="N169">
        <v>394161</v>
      </c>
      <c r="O169">
        <v>24</v>
      </c>
      <c r="P169" s="1">
        <f t="shared" si="4"/>
        <v>0.79166666666666663</v>
      </c>
      <c r="Q169" s="1">
        <f t="shared" si="5"/>
        <v>2.7916666666666665</v>
      </c>
    </row>
    <row r="170" spans="1:17" x14ac:dyDescent="0.25">
      <c r="A170">
        <v>168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359</v>
      </c>
      <c r="K170" t="s">
        <v>360</v>
      </c>
      <c r="L170">
        <v>0</v>
      </c>
      <c r="M170">
        <v>1</v>
      </c>
      <c r="N170">
        <v>5883</v>
      </c>
      <c r="O170">
        <v>24</v>
      </c>
      <c r="P170" s="1">
        <f t="shared" si="4"/>
        <v>4.1666666666666664E-2</v>
      </c>
      <c r="Q170" s="1">
        <f t="shared" si="5"/>
        <v>4.1666666666666664E-2</v>
      </c>
    </row>
    <row r="171" spans="1:17" x14ac:dyDescent="0.25">
      <c r="A171">
        <v>169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361</v>
      </c>
      <c r="K171" t="s">
        <v>362</v>
      </c>
      <c r="L171">
        <v>0</v>
      </c>
      <c r="M171">
        <v>0</v>
      </c>
      <c r="N171">
        <v>0</v>
      </c>
      <c r="O171">
        <v>24</v>
      </c>
      <c r="P171" s="1">
        <f t="shared" si="4"/>
        <v>0</v>
      </c>
      <c r="Q171" s="1">
        <f t="shared" si="5"/>
        <v>0</v>
      </c>
    </row>
    <row r="172" spans="1:17" x14ac:dyDescent="0.25">
      <c r="A172">
        <v>170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363</v>
      </c>
      <c r="K172" t="s">
        <v>364</v>
      </c>
      <c r="L172">
        <v>0</v>
      </c>
      <c r="M172">
        <v>2</v>
      </c>
      <c r="N172">
        <v>54612</v>
      </c>
      <c r="O172">
        <v>12</v>
      </c>
      <c r="P172" s="1">
        <f t="shared" si="4"/>
        <v>0.16666666666666666</v>
      </c>
      <c r="Q172" s="1">
        <f t="shared" si="5"/>
        <v>0.16666666666666666</v>
      </c>
    </row>
    <row r="173" spans="1:17" x14ac:dyDescent="0.25">
      <c r="A173">
        <v>171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365</v>
      </c>
      <c r="K173" t="s">
        <v>366</v>
      </c>
      <c r="L173">
        <v>0</v>
      </c>
      <c r="M173">
        <v>11</v>
      </c>
      <c r="N173">
        <v>184371</v>
      </c>
      <c r="O173">
        <v>24</v>
      </c>
      <c r="P173" s="1">
        <f t="shared" si="4"/>
        <v>0.45833333333333331</v>
      </c>
      <c r="Q173" s="1">
        <f t="shared" si="5"/>
        <v>0.45833333333333331</v>
      </c>
    </row>
    <row r="174" spans="1:17" x14ac:dyDescent="0.25">
      <c r="A174">
        <v>172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367</v>
      </c>
      <c r="K174" t="s">
        <v>368</v>
      </c>
      <c r="L174">
        <v>0</v>
      </c>
      <c r="M174">
        <v>3</v>
      </c>
      <c r="N174">
        <v>50949</v>
      </c>
      <c r="O174">
        <v>24</v>
      </c>
      <c r="P174" s="1">
        <f t="shared" si="4"/>
        <v>0.125</v>
      </c>
      <c r="Q174" s="1">
        <f t="shared" si="5"/>
        <v>0.125</v>
      </c>
    </row>
    <row r="175" spans="1:17" x14ac:dyDescent="0.25">
      <c r="A175">
        <v>173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369</v>
      </c>
      <c r="K175" t="s">
        <v>370</v>
      </c>
      <c r="L175">
        <v>0</v>
      </c>
      <c r="M175">
        <v>6</v>
      </c>
      <c r="N175">
        <v>101898</v>
      </c>
      <c r="O175">
        <v>24</v>
      </c>
      <c r="P175" s="1">
        <f t="shared" si="4"/>
        <v>0.25</v>
      </c>
      <c r="Q175" s="1">
        <f t="shared" si="5"/>
        <v>0.25</v>
      </c>
    </row>
    <row r="176" spans="1:17" x14ac:dyDescent="0.25">
      <c r="A176">
        <v>174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371</v>
      </c>
      <c r="K176" t="s">
        <v>372</v>
      </c>
      <c r="L176">
        <v>0</v>
      </c>
      <c r="M176">
        <v>3</v>
      </c>
      <c r="N176">
        <v>50949</v>
      </c>
      <c r="O176">
        <v>24</v>
      </c>
      <c r="P176" s="1">
        <f t="shared" si="4"/>
        <v>0.125</v>
      </c>
      <c r="Q176" s="1">
        <f t="shared" si="5"/>
        <v>0.125</v>
      </c>
    </row>
    <row r="177" spans="1:17" x14ac:dyDescent="0.25">
      <c r="A177">
        <v>175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373</v>
      </c>
      <c r="K177" t="s">
        <v>374</v>
      </c>
      <c r="L177">
        <v>0</v>
      </c>
      <c r="M177">
        <v>1</v>
      </c>
      <c r="N177">
        <v>16983</v>
      </c>
      <c r="O177">
        <v>24</v>
      </c>
      <c r="P177" s="1">
        <f t="shared" si="4"/>
        <v>4.1666666666666664E-2</v>
      </c>
      <c r="Q177" s="1">
        <f t="shared" si="5"/>
        <v>4.1666666666666664E-2</v>
      </c>
    </row>
    <row r="178" spans="1:17" x14ac:dyDescent="0.25">
      <c r="A178">
        <v>176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375</v>
      </c>
      <c r="K178" t="s">
        <v>376</v>
      </c>
      <c r="L178">
        <v>0</v>
      </c>
      <c r="M178">
        <v>2</v>
      </c>
      <c r="N178">
        <v>33966</v>
      </c>
      <c r="O178">
        <v>24</v>
      </c>
      <c r="P178" s="1">
        <f t="shared" si="4"/>
        <v>8.3333333333333329E-2</v>
      </c>
      <c r="Q178" s="1">
        <f t="shared" si="5"/>
        <v>8.3333333333333329E-2</v>
      </c>
    </row>
    <row r="179" spans="1:17" x14ac:dyDescent="0.25">
      <c r="A179">
        <v>177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377</v>
      </c>
      <c r="K179" t="s">
        <v>378</v>
      </c>
      <c r="L179">
        <v>2</v>
      </c>
      <c r="M179">
        <v>17</v>
      </c>
      <c r="N179">
        <v>887445</v>
      </c>
      <c r="O179">
        <v>24</v>
      </c>
      <c r="P179" s="1">
        <f t="shared" si="4"/>
        <v>0.70833333333333337</v>
      </c>
      <c r="Q179" s="1">
        <f t="shared" si="5"/>
        <v>2.7083333333333335</v>
      </c>
    </row>
    <row r="180" spans="1:17" x14ac:dyDescent="0.25">
      <c r="A180">
        <v>178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379</v>
      </c>
      <c r="K180" t="s">
        <v>380</v>
      </c>
      <c r="L180">
        <v>0</v>
      </c>
      <c r="M180">
        <v>0</v>
      </c>
      <c r="N180">
        <v>0</v>
      </c>
      <c r="O180">
        <v>4</v>
      </c>
      <c r="P180" s="1">
        <f t="shared" si="4"/>
        <v>0</v>
      </c>
      <c r="Q180" s="1">
        <f t="shared" si="5"/>
        <v>0</v>
      </c>
    </row>
    <row r="181" spans="1:17" x14ac:dyDescent="0.25">
      <c r="A181">
        <v>179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381</v>
      </c>
      <c r="K181" t="s">
        <v>382</v>
      </c>
      <c r="L181">
        <v>0</v>
      </c>
      <c r="M181">
        <v>4</v>
      </c>
      <c r="N181">
        <v>238872</v>
      </c>
      <c r="O181">
        <v>6</v>
      </c>
      <c r="P181" s="1">
        <f t="shared" si="4"/>
        <v>0.66666666666666663</v>
      </c>
      <c r="Q181" s="1">
        <f t="shared" si="5"/>
        <v>0.66666666666666663</v>
      </c>
    </row>
    <row r="182" spans="1:17" x14ac:dyDescent="0.25">
      <c r="A182">
        <v>180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383</v>
      </c>
      <c r="K182" t="s">
        <v>384</v>
      </c>
      <c r="L182">
        <v>3</v>
      </c>
      <c r="M182">
        <v>1</v>
      </c>
      <c r="N182">
        <v>1520922</v>
      </c>
      <c r="O182">
        <v>4</v>
      </c>
      <c r="P182" s="1">
        <f t="shared" si="4"/>
        <v>0.25</v>
      </c>
      <c r="Q182" s="1">
        <f t="shared" si="5"/>
        <v>3.25</v>
      </c>
    </row>
    <row r="183" spans="1:17" x14ac:dyDescent="0.25">
      <c r="A183">
        <v>181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385</v>
      </c>
      <c r="K183" t="s">
        <v>386</v>
      </c>
      <c r="L183">
        <v>0</v>
      </c>
      <c r="M183">
        <v>1</v>
      </c>
      <c r="N183">
        <v>59718</v>
      </c>
      <c r="O183">
        <v>6</v>
      </c>
      <c r="P183" s="1">
        <f t="shared" si="4"/>
        <v>0.16666666666666666</v>
      </c>
      <c r="Q183" s="1">
        <f t="shared" si="5"/>
        <v>0.16666666666666666</v>
      </c>
    </row>
    <row r="184" spans="1:17" x14ac:dyDescent="0.25">
      <c r="A184">
        <v>182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387</v>
      </c>
      <c r="K184" t="s">
        <v>388</v>
      </c>
      <c r="L184">
        <v>1</v>
      </c>
      <c r="M184">
        <v>10</v>
      </c>
      <c r="N184">
        <v>525030</v>
      </c>
      <c r="O184">
        <v>12</v>
      </c>
      <c r="P184" s="1">
        <f t="shared" si="4"/>
        <v>0.83333333333333337</v>
      </c>
      <c r="Q184" s="1">
        <f t="shared" si="5"/>
        <v>1.8333333333333335</v>
      </c>
    </row>
    <row r="185" spans="1:17" x14ac:dyDescent="0.25">
      <c r="A185">
        <v>183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389</v>
      </c>
      <c r="K185" t="s">
        <v>390</v>
      </c>
      <c r="L185">
        <v>0</v>
      </c>
      <c r="M185">
        <v>5</v>
      </c>
      <c r="N185">
        <v>188145</v>
      </c>
      <c r="O185">
        <v>12</v>
      </c>
      <c r="P185" s="1">
        <f t="shared" si="4"/>
        <v>0.41666666666666669</v>
      </c>
      <c r="Q185" s="1">
        <f t="shared" si="5"/>
        <v>0.41666666666666669</v>
      </c>
    </row>
    <row r="186" spans="1:17" x14ac:dyDescent="0.25">
      <c r="A186">
        <v>184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391</v>
      </c>
      <c r="K186" t="s">
        <v>392</v>
      </c>
      <c r="L186">
        <v>1</v>
      </c>
      <c r="M186">
        <v>0</v>
      </c>
      <c r="N186">
        <v>467976</v>
      </c>
      <c r="O186">
        <v>4</v>
      </c>
      <c r="P186" s="1">
        <f t="shared" si="4"/>
        <v>0</v>
      </c>
      <c r="Q186" s="1">
        <f t="shared" si="5"/>
        <v>1</v>
      </c>
    </row>
    <row r="187" spans="1:17" x14ac:dyDescent="0.25">
      <c r="A187">
        <v>185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393</v>
      </c>
      <c r="K187" t="s">
        <v>394</v>
      </c>
      <c r="L187">
        <v>1</v>
      </c>
      <c r="M187">
        <v>0</v>
      </c>
      <c r="N187">
        <v>358308</v>
      </c>
      <c r="O187">
        <v>6</v>
      </c>
      <c r="P187" s="1">
        <f t="shared" si="4"/>
        <v>0</v>
      </c>
      <c r="Q187" s="1">
        <f t="shared" si="5"/>
        <v>1</v>
      </c>
    </row>
    <row r="188" spans="1:17" x14ac:dyDescent="0.25">
      <c r="A188">
        <v>186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395</v>
      </c>
      <c r="K188" t="s">
        <v>396</v>
      </c>
      <c r="L188">
        <v>6</v>
      </c>
      <c r="M188">
        <v>2</v>
      </c>
      <c r="N188">
        <v>1766010</v>
      </c>
      <c r="O188">
        <v>12</v>
      </c>
      <c r="P188" s="1">
        <f t="shared" si="4"/>
        <v>0.16666666666666666</v>
      </c>
      <c r="Q188" s="1">
        <f t="shared" si="5"/>
        <v>6.166666666666667</v>
      </c>
    </row>
    <row r="189" spans="1:17" x14ac:dyDescent="0.25">
      <c r="A189">
        <v>187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397</v>
      </c>
      <c r="K189" t="s">
        <v>398</v>
      </c>
      <c r="L189">
        <v>4</v>
      </c>
      <c r="M189">
        <v>0</v>
      </c>
      <c r="N189">
        <v>911088</v>
      </c>
      <c r="O189">
        <v>12</v>
      </c>
      <c r="P189" s="1">
        <f t="shared" si="4"/>
        <v>0</v>
      </c>
      <c r="Q189" s="1">
        <f t="shared" si="5"/>
        <v>4</v>
      </c>
    </row>
    <row r="190" spans="1:17" x14ac:dyDescent="0.25">
      <c r="A190">
        <v>188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399</v>
      </c>
      <c r="K190" t="s">
        <v>400</v>
      </c>
      <c r="L190">
        <v>4</v>
      </c>
      <c r="M190">
        <v>0</v>
      </c>
      <c r="N190">
        <v>911088</v>
      </c>
      <c r="O190">
        <v>12</v>
      </c>
      <c r="P190" s="1">
        <f t="shared" si="4"/>
        <v>0</v>
      </c>
      <c r="Q190" s="1">
        <f t="shared" si="5"/>
        <v>4</v>
      </c>
    </row>
    <row r="191" spans="1:17" x14ac:dyDescent="0.25">
      <c r="A191">
        <v>189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401</v>
      </c>
      <c r="K191" t="s">
        <v>402</v>
      </c>
      <c r="L191">
        <v>4</v>
      </c>
      <c r="M191">
        <v>0</v>
      </c>
      <c r="N191">
        <v>911088</v>
      </c>
      <c r="O191">
        <v>12</v>
      </c>
      <c r="P191" s="1">
        <f t="shared" si="4"/>
        <v>0</v>
      </c>
      <c r="Q191" s="1">
        <f t="shared" si="5"/>
        <v>4</v>
      </c>
    </row>
    <row r="192" spans="1:17" x14ac:dyDescent="0.25">
      <c r="A192">
        <v>190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403</v>
      </c>
      <c r="K192" t="s">
        <v>404</v>
      </c>
      <c r="L192">
        <v>1</v>
      </c>
      <c r="M192">
        <v>5</v>
      </c>
      <c r="N192">
        <v>430236</v>
      </c>
      <c r="O192">
        <v>12</v>
      </c>
      <c r="P192" s="1">
        <f t="shared" si="4"/>
        <v>0.41666666666666669</v>
      </c>
      <c r="Q192" s="1">
        <f t="shared" si="5"/>
        <v>1.4166666666666667</v>
      </c>
    </row>
    <row r="193" spans="1:17" x14ac:dyDescent="0.25">
      <c r="A193">
        <v>191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405</v>
      </c>
      <c r="K193" t="s">
        <v>406</v>
      </c>
      <c r="L193">
        <v>4</v>
      </c>
      <c r="M193">
        <v>11</v>
      </c>
      <c r="N193">
        <v>903762</v>
      </c>
      <c r="O193">
        <v>12</v>
      </c>
      <c r="P193" s="1">
        <f t="shared" si="4"/>
        <v>0.91666666666666663</v>
      </c>
      <c r="Q193" s="1">
        <f t="shared" si="5"/>
        <v>4.916666666666667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2026-09-08T03:47:44Z</dcterms:created>
  <dcterms:modified xsi:type="dcterms:W3CDTF">2026-09-08T03:48:04Z</dcterms:modified>
</cp:coreProperties>
</file>