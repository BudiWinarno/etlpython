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YURI AGENT\YURI AGENT\Master ETL PROSES\R3\LK-000046 (belum mapping)\Juli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193" i="1" l="1"/>
  <c r="Q193" i="1" s="1"/>
  <c r="P192" i="1"/>
  <c r="Q192" i="1" s="1"/>
  <c r="P191" i="1"/>
  <c r="Q191" i="1" s="1"/>
  <c r="P190" i="1"/>
  <c r="Q190" i="1" s="1"/>
  <c r="P189" i="1"/>
  <c r="Q189" i="1" s="1"/>
  <c r="P188" i="1"/>
  <c r="Q188" i="1" s="1"/>
  <c r="P187" i="1"/>
  <c r="Q187" i="1" s="1"/>
  <c r="P186" i="1"/>
  <c r="Q186" i="1" s="1"/>
  <c r="P185" i="1"/>
  <c r="Q185" i="1" s="1"/>
  <c r="P184" i="1"/>
  <c r="Q184" i="1" s="1"/>
  <c r="P183" i="1"/>
  <c r="Q183" i="1" s="1"/>
  <c r="P182" i="1"/>
  <c r="Q182" i="1" s="1"/>
  <c r="P181" i="1"/>
  <c r="Q181" i="1" s="1"/>
  <c r="P180" i="1"/>
  <c r="Q180" i="1" s="1"/>
  <c r="P179" i="1"/>
  <c r="Q179" i="1" s="1"/>
  <c r="P178" i="1"/>
  <c r="Q178" i="1" s="1"/>
  <c r="P177" i="1"/>
  <c r="Q177" i="1" s="1"/>
  <c r="P176" i="1"/>
  <c r="Q176" i="1" s="1"/>
  <c r="P175" i="1"/>
  <c r="Q175" i="1" s="1"/>
  <c r="P174" i="1"/>
  <c r="Q174" i="1" s="1"/>
  <c r="P173" i="1"/>
  <c r="Q173" i="1" s="1"/>
  <c r="P172" i="1"/>
  <c r="Q172" i="1" s="1"/>
  <c r="P171" i="1"/>
  <c r="Q171" i="1" s="1"/>
  <c r="P170" i="1"/>
  <c r="Q170" i="1" s="1"/>
  <c r="P169" i="1"/>
  <c r="Q169" i="1" s="1"/>
  <c r="P168" i="1"/>
  <c r="Q168" i="1" s="1"/>
  <c r="P167" i="1"/>
  <c r="Q167" i="1" s="1"/>
  <c r="P166" i="1"/>
  <c r="Q166" i="1" s="1"/>
  <c r="P165" i="1"/>
  <c r="Q165" i="1" s="1"/>
  <c r="P164" i="1"/>
  <c r="Q164" i="1" s="1"/>
  <c r="P163" i="1"/>
  <c r="Q163" i="1" s="1"/>
  <c r="P162" i="1"/>
  <c r="Q162" i="1" s="1"/>
  <c r="P161" i="1"/>
  <c r="Q161" i="1" s="1"/>
  <c r="P160" i="1"/>
  <c r="Q160" i="1" s="1"/>
  <c r="P159" i="1"/>
  <c r="Q159" i="1" s="1"/>
  <c r="P158" i="1"/>
  <c r="Q158" i="1" s="1"/>
  <c r="P157" i="1"/>
  <c r="Q157" i="1" s="1"/>
  <c r="P156" i="1"/>
  <c r="Q156" i="1" s="1"/>
  <c r="P155" i="1"/>
  <c r="Q155" i="1" s="1"/>
  <c r="P154" i="1"/>
  <c r="Q154" i="1" s="1"/>
  <c r="P153" i="1"/>
  <c r="Q153" i="1" s="1"/>
  <c r="P152" i="1"/>
  <c r="Q152" i="1" s="1"/>
  <c r="P151" i="1"/>
  <c r="Q151" i="1" s="1"/>
  <c r="P150" i="1"/>
  <c r="Q150" i="1" s="1"/>
  <c r="P149" i="1"/>
  <c r="Q149" i="1" s="1"/>
  <c r="P148" i="1"/>
  <c r="Q148" i="1" s="1"/>
  <c r="P147" i="1"/>
  <c r="Q147" i="1" s="1"/>
  <c r="P146" i="1"/>
  <c r="Q146" i="1" s="1"/>
  <c r="P145" i="1"/>
  <c r="Q145" i="1" s="1"/>
  <c r="P144" i="1"/>
  <c r="Q144" i="1" s="1"/>
  <c r="P143" i="1"/>
  <c r="Q143" i="1" s="1"/>
  <c r="P142" i="1"/>
  <c r="Q142" i="1" s="1"/>
  <c r="P141" i="1"/>
  <c r="Q141" i="1" s="1"/>
  <c r="P140" i="1"/>
  <c r="Q140" i="1" s="1"/>
  <c r="P139" i="1"/>
  <c r="Q139" i="1" s="1"/>
  <c r="P138" i="1"/>
  <c r="Q138" i="1" s="1"/>
  <c r="P137" i="1"/>
  <c r="Q137" i="1" s="1"/>
  <c r="P136" i="1"/>
  <c r="Q136" i="1" s="1"/>
  <c r="P135" i="1"/>
  <c r="Q135" i="1" s="1"/>
  <c r="P134" i="1"/>
  <c r="Q134" i="1" s="1"/>
  <c r="P133" i="1"/>
  <c r="Q133" i="1" s="1"/>
  <c r="P132" i="1"/>
  <c r="Q132" i="1" s="1"/>
  <c r="P131" i="1"/>
  <c r="Q131" i="1" s="1"/>
  <c r="P130" i="1"/>
  <c r="Q130" i="1" s="1"/>
  <c r="P129" i="1"/>
  <c r="Q129" i="1" s="1"/>
  <c r="P128" i="1"/>
  <c r="Q128" i="1" s="1"/>
  <c r="P127" i="1"/>
  <c r="Q127" i="1" s="1"/>
  <c r="P126" i="1"/>
  <c r="Q126" i="1" s="1"/>
  <c r="P125" i="1"/>
  <c r="Q125" i="1" s="1"/>
  <c r="P124" i="1"/>
  <c r="Q124" i="1" s="1"/>
  <c r="P123" i="1"/>
  <c r="Q123" i="1" s="1"/>
  <c r="P122" i="1"/>
  <c r="Q122" i="1" s="1"/>
  <c r="P121" i="1"/>
  <c r="Q121" i="1" s="1"/>
  <c r="P120" i="1"/>
  <c r="Q120" i="1" s="1"/>
  <c r="P119" i="1"/>
  <c r="Q119" i="1" s="1"/>
  <c r="P118" i="1"/>
  <c r="Q118" i="1" s="1"/>
  <c r="P117" i="1"/>
  <c r="Q117" i="1" s="1"/>
  <c r="P116" i="1"/>
  <c r="Q116" i="1" s="1"/>
  <c r="P115" i="1"/>
  <c r="Q115" i="1" s="1"/>
  <c r="P114" i="1"/>
  <c r="Q114" i="1" s="1"/>
  <c r="P113" i="1"/>
  <c r="Q113" i="1" s="1"/>
  <c r="P112" i="1"/>
  <c r="Q112" i="1" s="1"/>
  <c r="P111" i="1"/>
  <c r="Q111" i="1" s="1"/>
  <c r="P110" i="1"/>
  <c r="Q110" i="1" s="1"/>
  <c r="P109" i="1"/>
  <c r="Q109" i="1" s="1"/>
  <c r="P108" i="1"/>
  <c r="Q108" i="1" s="1"/>
  <c r="P107" i="1"/>
  <c r="Q107" i="1" s="1"/>
  <c r="P106" i="1"/>
  <c r="Q106" i="1" s="1"/>
  <c r="P105" i="1"/>
  <c r="Q105" i="1" s="1"/>
  <c r="P104" i="1"/>
  <c r="Q104" i="1" s="1"/>
  <c r="P103" i="1"/>
  <c r="Q103" i="1" s="1"/>
  <c r="P102" i="1"/>
  <c r="Q102" i="1" s="1"/>
  <c r="P101" i="1"/>
  <c r="Q101" i="1" s="1"/>
  <c r="P100" i="1"/>
  <c r="Q100" i="1" s="1"/>
  <c r="P99" i="1"/>
  <c r="Q99" i="1" s="1"/>
  <c r="P98" i="1"/>
  <c r="Q98" i="1" s="1"/>
  <c r="P97" i="1"/>
  <c r="Q97" i="1" s="1"/>
  <c r="Q96" i="1"/>
  <c r="P96" i="1"/>
  <c r="P95" i="1"/>
  <c r="Q95" i="1" s="1"/>
  <c r="P94" i="1"/>
  <c r="Q94" i="1" s="1"/>
  <c r="P93" i="1"/>
  <c r="Q93" i="1" s="1"/>
  <c r="P92" i="1"/>
  <c r="Q92" i="1" s="1"/>
  <c r="P91" i="1"/>
  <c r="Q91" i="1" s="1"/>
  <c r="Q90" i="1"/>
  <c r="P90" i="1"/>
  <c r="P89" i="1"/>
  <c r="Q89" i="1" s="1"/>
  <c r="P88" i="1"/>
  <c r="Q88" i="1" s="1"/>
  <c r="P87" i="1"/>
  <c r="Q87" i="1" s="1"/>
  <c r="P86" i="1"/>
  <c r="Q86" i="1" s="1"/>
  <c r="P85" i="1"/>
  <c r="Q85" i="1" s="1"/>
  <c r="Q84" i="1"/>
  <c r="P84" i="1"/>
  <c r="P83" i="1"/>
  <c r="Q83" i="1" s="1"/>
  <c r="P82" i="1"/>
  <c r="Q82" i="1" s="1"/>
  <c r="P81" i="1"/>
  <c r="Q81" i="1" s="1"/>
  <c r="P80" i="1"/>
  <c r="Q80" i="1" s="1"/>
  <c r="P79" i="1"/>
  <c r="Q79" i="1" s="1"/>
  <c r="Q78" i="1"/>
  <c r="P78" i="1"/>
  <c r="P77" i="1"/>
  <c r="Q77" i="1" s="1"/>
  <c r="P76" i="1"/>
  <c r="Q76" i="1" s="1"/>
  <c r="P75" i="1"/>
  <c r="Q75" i="1" s="1"/>
  <c r="P74" i="1"/>
  <c r="Q74" i="1" s="1"/>
  <c r="P73" i="1"/>
  <c r="Q73" i="1" s="1"/>
  <c r="Q72" i="1"/>
  <c r="P72" i="1"/>
  <c r="P71" i="1"/>
  <c r="Q71" i="1" s="1"/>
  <c r="P70" i="1"/>
  <c r="Q70" i="1" s="1"/>
  <c r="P69" i="1"/>
  <c r="Q69" i="1" s="1"/>
  <c r="P68" i="1"/>
  <c r="Q68" i="1" s="1"/>
  <c r="P67" i="1"/>
  <c r="Q67" i="1" s="1"/>
  <c r="Q66" i="1"/>
  <c r="P66" i="1"/>
  <c r="P65" i="1"/>
  <c r="Q65" i="1" s="1"/>
  <c r="P64" i="1"/>
  <c r="Q64" i="1" s="1"/>
  <c r="P63" i="1"/>
  <c r="Q63" i="1" s="1"/>
  <c r="P62" i="1"/>
  <c r="Q62" i="1" s="1"/>
  <c r="P61" i="1"/>
  <c r="Q61" i="1" s="1"/>
  <c r="Q60" i="1"/>
  <c r="P60" i="1"/>
  <c r="P59" i="1"/>
  <c r="Q59" i="1" s="1"/>
  <c r="P58" i="1"/>
  <c r="Q58" i="1" s="1"/>
  <c r="P57" i="1"/>
  <c r="Q57" i="1" s="1"/>
  <c r="P56" i="1"/>
  <c r="Q56" i="1" s="1"/>
  <c r="P55" i="1"/>
  <c r="Q55" i="1" s="1"/>
  <c r="Q54" i="1"/>
  <c r="P54" i="1"/>
  <c r="P53" i="1"/>
  <c r="Q53" i="1" s="1"/>
  <c r="P52" i="1"/>
  <c r="Q52" i="1" s="1"/>
  <c r="P51" i="1"/>
  <c r="Q51" i="1" s="1"/>
  <c r="P50" i="1"/>
  <c r="Q50" i="1" s="1"/>
  <c r="P49" i="1"/>
  <c r="Q49" i="1" s="1"/>
  <c r="Q48" i="1"/>
  <c r="P48" i="1"/>
  <c r="P47" i="1"/>
  <c r="Q47" i="1" s="1"/>
  <c r="P46" i="1"/>
  <c r="Q46" i="1" s="1"/>
  <c r="P45" i="1"/>
  <c r="Q45" i="1" s="1"/>
  <c r="P44" i="1"/>
  <c r="Q44" i="1" s="1"/>
  <c r="P43" i="1"/>
  <c r="Q43" i="1" s="1"/>
  <c r="Q42" i="1"/>
  <c r="P42" i="1"/>
  <c r="P41" i="1"/>
  <c r="Q41" i="1" s="1"/>
  <c r="P40" i="1"/>
  <c r="Q40" i="1" s="1"/>
  <c r="P39" i="1"/>
  <c r="Q39" i="1" s="1"/>
  <c r="P38" i="1"/>
  <c r="Q38" i="1" s="1"/>
  <c r="P37" i="1"/>
  <c r="Q37" i="1" s="1"/>
  <c r="Q36" i="1"/>
  <c r="P36" i="1"/>
  <c r="P35" i="1"/>
  <c r="Q35" i="1" s="1"/>
  <c r="P34" i="1"/>
  <c r="Q34" i="1" s="1"/>
  <c r="P33" i="1"/>
  <c r="Q33" i="1" s="1"/>
  <c r="P32" i="1"/>
  <c r="Q32" i="1" s="1"/>
  <c r="P31" i="1"/>
  <c r="Q31" i="1" s="1"/>
  <c r="Q30" i="1"/>
  <c r="P30" i="1"/>
  <c r="P29" i="1"/>
  <c r="Q29" i="1" s="1"/>
  <c r="P28" i="1"/>
  <c r="Q28" i="1" s="1"/>
  <c r="P27" i="1"/>
  <c r="Q27" i="1" s="1"/>
  <c r="P26" i="1"/>
  <c r="Q26" i="1" s="1"/>
  <c r="P25" i="1"/>
  <c r="Q25" i="1" s="1"/>
  <c r="Q24" i="1"/>
  <c r="P24" i="1"/>
  <c r="P23" i="1"/>
  <c r="Q23" i="1" s="1"/>
  <c r="P22" i="1"/>
  <c r="Q22" i="1" s="1"/>
  <c r="P21" i="1"/>
  <c r="Q21" i="1" s="1"/>
  <c r="P20" i="1"/>
  <c r="Q20" i="1" s="1"/>
  <c r="P19" i="1"/>
  <c r="Q19" i="1" s="1"/>
  <c r="Q18" i="1"/>
  <c r="P18" i="1"/>
  <c r="P17" i="1"/>
  <c r="Q17" i="1" s="1"/>
  <c r="P16" i="1"/>
  <c r="Q16" i="1" s="1"/>
  <c r="P15" i="1"/>
  <c r="Q15" i="1" s="1"/>
  <c r="P14" i="1"/>
  <c r="Q14" i="1" s="1"/>
  <c r="P13" i="1"/>
  <c r="Q13" i="1" s="1"/>
  <c r="Q12" i="1"/>
  <c r="P12" i="1"/>
  <c r="P11" i="1"/>
  <c r="Q11" i="1" s="1"/>
  <c r="P10" i="1"/>
  <c r="Q10" i="1" s="1"/>
  <c r="P9" i="1"/>
  <c r="Q9" i="1" s="1"/>
  <c r="P8" i="1"/>
  <c r="Q8" i="1" s="1"/>
  <c r="P7" i="1"/>
  <c r="Q7" i="1" s="1"/>
  <c r="Q6" i="1"/>
  <c r="P6" i="1"/>
  <c r="P5" i="1"/>
  <c r="Q5" i="1" s="1"/>
  <c r="P4" i="1"/>
  <c r="Q4" i="1" s="1"/>
  <c r="P3" i="1"/>
  <c r="Q3" i="1" s="1"/>
  <c r="Q1" i="1" l="1"/>
</calcChain>
</file>

<file path=xl/sharedStrings.xml><?xml version="1.0" encoding="utf-8"?>
<sst xmlns="http://schemas.openxmlformats.org/spreadsheetml/2006/main" count="1927" uniqueCount="407">
  <si>
    <t>no</t>
  </si>
  <si>
    <t>com_id</t>
  </si>
  <si>
    <t>groupcompanyname</t>
  </si>
  <si>
    <t>tgl</t>
  </si>
  <si>
    <t>ware_id</t>
  </si>
  <si>
    <t>principle_id</t>
  </si>
  <si>
    <t>principle_name</t>
  </si>
  <si>
    <t>divisi_id</t>
  </si>
  <si>
    <t>divisi_name</t>
  </si>
  <si>
    <t>item_id</t>
  </si>
  <si>
    <t>item_name</t>
  </si>
  <si>
    <t>stok_ctn</t>
  </si>
  <si>
    <t>stok_pcs</t>
  </si>
  <si>
    <t>end_value</t>
  </si>
  <si>
    <t>konversi</t>
  </si>
  <si>
    <t>konv pcs</t>
  </si>
  <si>
    <t>Stok Global</t>
  </si>
  <si>
    <t>010</t>
  </si>
  <si>
    <t>PT. GADING PURI PERKASA</t>
  </si>
  <si>
    <t>31-Jul-26</t>
  </si>
  <si>
    <t>0101</t>
  </si>
  <si>
    <t>008</t>
  </si>
  <si>
    <t>Joenoes Ika Mulya</t>
  </si>
  <si>
    <t>07</t>
  </si>
  <si>
    <t>YURI</t>
  </si>
  <si>
    <t>08070804310015</t>
  </si>
  <si>
    <t>AGANOL (FLORAL) BOTTLE 1000 ML</t>
  </si>
  <si>
    <t>08070804310035</t>
  </si>
  <si>
    <t>AGANOL (FLORAL) JRG 3.7 LT</t>
  </si>
  <si>
    <t>08070804310005</t>
  </si>
  <si>
    <t>AGANOL (FLORAL) POUCH 600 ML</t>
  </si>
  <si>
    <t>08070804310014</t>
  </si>
  <si>
    <t>AGANOL (LAV) BOTTLE 1000 ML</t>
  </si>
  <si>
    <t>08070804310024</t>
  </si>
  <si>
    <t>AGANOL (LAV) BOTTLE 2000 ML</t>
  </si>
  <si>
    <t>08070804310034</t>
  </si>
  <si>
    <t>AGANOL (LAV) JRG 3.7 LT</t>
  </si>
  <si>
    <t>08070804310004</t>
  </si>
  <si>
    <t>AGANOL (LAV) POUCH 600 ML</t>
  </si>
  <si>
    <t>08070804310012</t>
  </si>
  <si>
    <t>AGANOL (LEMON) BOTTLE 1000 ML</t>
  </si>
  <si>
    <t>08070804310022</t>
  </si>
  <si>
    <t>AGANOL (LEMON) BOTTLE 2000 ML</t>
  </si>
  <si>
    <t>08070804310032</t>
  </si>
  <si>
    <t>AGANOL (LEMON) JRG 3.7 LT</t>
  </si>
  <si>
    <t>08070804310002</t>
  </si>
  <si>
    <t>AGANOL (LEMON) POUCH 600 ML</t>
  </si>
  <si>
    <t>08070804310013</t>
  </si>
  <si>
    <t>AGANOL (MORNING FRESH) BOTTLE 1000 ML</t>
  </si>
  <si>
    <t>08070804310023</t>
  </si>
  <si>
    <t>AGANOL (MORNING FRESH) BOTTLE 2000 ML</t>
  </si>
  <si>
    <t>08070804310033</t>
  </si>
  <si>
    <t>AGANOL (MORNING FRESH) JRG 3.7 LT</t>
  </si>
  <si>
    <t>08070804310003</t>
  </si>
  <si>
    <t>AGANOL (MORNING FRESH) POUCH 600 ML</t>
  </si>
  <si>
    <t>08070804310048</t>
  </si>
  <si>
    <t>AGANOL FLORAL/600ML BUY 1 GET 1</t>
  </si>
  <si>
    <t>08070801030062</t>
  </si>
  <si>
    <t>BABY DEE BABY CREAM POPOK (HONEY) TUBE 50 GR</t>
  </si>
  <si>
    <t>08070801030061</t>
  </si>
  <si>
    <t>BABY DEE BABY CREAM POPOK (MILK) TUBE 50 GR</t>
  </si>
  <si>
    <t>08070801030042</t>
  </si>
  <si>
    <t>BABY DEE BABY LOTION (HONEY) BOTTLE 100 ML</t>
  </si>
  <si>
    <t>08070801030041</t>
  </si>
  <si>
    <t>BABY DEE BABY LOTION (MILK) BOTTLE 100 ML</t>
  </si>
  <si>
    <t>08070801050021</t>
  </si>
  <si>
    <t>BABY DEE BODY WASH &amp; SHAMPOO (MILK) BOTTLE 200 ML</t>
  </si>
  <si>
    <t>08070801050033</t>
  </si>
  <si>
    <t xml:space="preserve">BABY DEE BW&amp;SHP NAT HONEY&amp;CHAMOMILE EXCTRACT FOAMING 12X600ML_x000D_
</t>
  </si>
  <si>
    <t>08070801050034</t>
  </si>
  <si>
    <t>BABY DEE BW&amp;SHP NAT MILK&amp;LAVENDER EXCTRACT FOAMING 12X600ML</t>
  </si>
  <si>
    <t>08070801050031</t>
  </si>
  <si>
    <t>BABY DEE BW&amp;SHP NAT MILK&amp;LAVENDER EXCTRACT FOAMING 600ML (FREE 200ML)</t>
  </si>
  <si>
    <t>08070801220025</t>
  </si>
  <si>
    <t>BABY DEE LOTION NATURAL HONEY &amp; CHAMOMILE EXTRACT 100G BUY1 GET1 FREE</t>
  </si>
  <si>
    <t>08070801290031</t>
  </si>
  <si>
    <t>BABY DEE TALCUM POWDER (MILK) BOTTLE 200 GR</t>
  </si>
  <si>
    <t>08070801220021</t>
  </si>
  <si>
    <t>BABY DEE TOILETRIES PACK (MILK)</t>
  </si>
  <si>
    <t>08070801220022</t>
  </si>
  <si>
    <t>BABY DEE TRAVEL PACK (MILK)</t>
  </si>
  <si>
    <t>08070801220024</t>
  </si>
  <si>
    <t>BABY DEE TRAVEL PACK HONEY</t>
  </si>
  <si>
    <t>08070804160003</t>
  </si>
  <si>
    <t>BABY SOFT JRG 3.7 LT</t>
  </si>
  <si>
    <t>08070804160001</t>
  </si>
  <si>
    <t>BABY SOFT POUCH 410 ML</t>
  </si>
  <si>
    <t>08070801030072</t>
  </si>
  <si>
    <t>BABYDEE DIAPER CREAM HONEY &amp; CHAMOMILE TUBE 24X100GR</t>
  </si>
  <si>
    <t>08070804160036</t>
  </si>
  <si>
    <t>BIOSOFT BOTTLE 375 ML</t>
  </si>
  <si>
    <t>08070804160151</t>
  </si>
  <si>
    <t>BIOSOFT HIJAB DETERJEN+SOFTENER OF 12X630 ML PCH</t>
  </si>
  <si>
    <t>08070804160141</t>
  </si>
  <si>
    <t>BIOSOFT HIJAB DETERJEN+SOFTENER OF 12X900 ML BTL</t>
  </si>
  <si>
    <t>08070804160161</t>
  </si>
  <si>
    <t>BIOSOFT HIJAB PELICIN OF 12X500ML BTL SPRAY</t>
  </si>
  <si>
    <t>08070804160162</t>
  </si>
  <si>
    <t>BIOSOFT HIJAB PELICIN OF 24X410ML REF PCH</t>
  </si>
  <si>
    <t>08070804160152</t>
  </si>
  <si>
    <t>BIOSOFT HIJAB PEWANGI+SOFTENER OF 12X630 ML PCH</t>
  </si>
  <si>
    <t>08070804160142</t>
  </si>
  <si>
    <t>BIOSOFT HIJAB PEWANGI+SOFTENER OF 12X900 ML BTL</t>
  </si>
  <si>
    <t>08070804160038</t>
  </si>
  <si>
    <t>BIOSOFT JRG 3.7 LT</t>
  </si>
  <si>
    <t>08070804160032</t>
  </si>
  <si>
    <t>BLEACH (LF) JRG 3.7 LT</t>
  </si>
  <si>
    <t>08070802120078</t>
  </si>
  <si>
    <t>DEE DEE SHAMPOO APPLE POUCH 24X200ML / BELI 1 GRATIS 1</t>
  </si>
  <si>
    <t>08070802120079</t>
  </si>
  <si>
    <t>DEE DEE SHAMPOO ORANGE POUCH 24X200ML / BELI 1 GRATIS 1</t>
  </si>
  <si>
    <t>08070802120080</t>
  </si>
  <si>
    <t>DEE DEE SHAMPOO STRAWBERRY POUCH 24X200ML / BELI 1 GRATIS 1</t>
  </si>
  <si>
    <t>08070802220006</t>
  </si>
  <si>
    <t>DEE DEE SIKAT GIGI (TRAY) MIX</t>
  </si>
  <si>
    <t>08070802280071</t>
  </si>
  <si>
    <t>DEE- DEE SHOWER FOAMING (APPLE) 225 ML</t>
  </si>
  <si>
    <t>08070802280072</t>
  </si>
  <si>
    <t>DEE- DEE SHOWER FOAMING (GRAPE) 225 ML</t>
  </si>
  <si>
    <t>08070802280073</t>
  </si>
  <si>
    <t>DEE- DEE SHOWER FOAMING (ORG) 225 ML</t>
  </si>
  <si>
    <t>08070802280074</t>
  </si>
  <si>
    <t>DEE- DEE SHOWER FOAMING (STRAW) 225 ML</t>
  </si>
  <si>
    <t>08070802280041</t>
  </si>
  <si>
    <t>DEE-DEE BODY WASH (APPLE)  BOTTLE REFILL 225 ML</t>
  </si>
  <si>
    <t>08070802280031</t>
  </si>
  <si>
    <t>DEE-DEE BODY WASH (APPLE) POUCH 200 ML</t>
  </si>
  <si>
    <t>08070802280032</t>
  </si>
  <si>
    <t>DEE-DEE BODY WASH (GRP) POUCH 200 ML</t>
  </si>
  <si>
    <t>08070802280043</t>
  </si>
  <si>
    <t>DEE-DEE BODY WASH (ORG)  BOTTLE REFILL 225 ML</t>
  </si>
  <si>
    <t>08070802280033</t>
  </si>
  <si>
    <t>DEE-DEE BODY WASH (ORG) POUCH 200 ML</t>
  </si>
  <si>
    <t>08070802280044</t>
  </si>
  <si>
    <t>DEE-DEE BODY WASH (STR)  BOTTLE REFILL 225 ML</t>
  </si>
  <si>
    <t>08070802280034</t>
  </si>
  <si>
    <t>DEE-DEE BODY WASH (STR) POUCH 200 ML</t>
  </si>
  <si>
    <t>08070802100021</t>
  </si>
  <si>
    <t>DEE-DEE FACIAL WASH (GRP) TUBE 100 GR</t>
  </si>
  <si>
    <t>08070802100011</t>
  </si>
  <si>
    <t>DEE-DEE FACIAL WASH (GRP) TUBE TRAY 50 GR</t>
  </si>
  <si>
    <t>08070802100022</t>
  </si>
  <si>
    <t>DEE-DEE FACIAL WASH (ORG) TUBE 100 GR</t>
  </si>
  <si>
    <t>08070802100012</t>
  </si>
  <si>
    <t>DEE-DEE FACIAL WASH (ORG) TUBE TRAY 50 GR</t>
  </si>
  <si>
    <t>08070802100023</t>
  </si>
  <si>
    <t>DEE-DEE FACIAL WASH (STR) TUBE 100 GR</t>
  </si>
  <si>
    <t>08070802100013</t>
  </si>
  <si>
    <t>DEE-DEE FACIAL WASH (STR) TUBE TRAY 50 GR</t>
  </si>
  <si>
    <t>08070802210021</t>
  </si>
  <si>
    <t>DEE-DEE PENOLAK NYAMUK (GUAVA) TUBE 50 GR</t>
  </si>
  <si>
    <t>08070802210002</t>
  </si>
  <si>
    <t>DEE-DEE PENOLAK NYAMUK (ORG) SACHET 5 ML</t>
  </si>
  <si>
    <t>08070802210022</t>
  </si>
  <si>
    <t>DEE-DEE PENOLAK NYAMUK (ORG) TUBE 50 GR</t>
  </si>
  <si>
    <t>08070802210003</t>
  </si>
  <si>
    <t>DEE-DEE PENOLAK NYAMUK (STR) SACHET 5 ML</t>
  </si>
  <si>
    <t>08070802210023</t>
  </si>
  <si>
    <t>DEE-DEE PENOLAK NYAMUK (STR) TUBE 50 GR</t>
  </si>
  <si>
    <t>08070802120011</t>
  </si>
  <si>
    <t>DEE-DEE SHAMPOO (APPLE) BOTTLE 45 ML</t>
  </si>
  <si>
    <t>08070802120051</t>
  </si>
  <si>
    <t>DEE-DEE SHAMPOO (APPLE) POUCH 200 ML</t>
  </si>
  <si>
    <t>08070802120031</t>
  </si>
  <si>
    <t>DEE-DEE SHAMPOO (APPLE) PUMP 250 ML</t>
  </si>
  <si>
    <t>08070802120021</t>
  </si>
  <si>
    <t>DEE-DEE SHAMPOO (APPLE) REFILL 125 ML</t>
  </si>
  <si>
    <t>08070802120041</t>
  </si>
  <si>
    <t>DEE-DEE SHAMPOO (APPLE) REFILL 250 ML</t>
  </si>
  <si>
    <t>08070802120066</t>
  </si>
  <si>
    <t>DEE-DEE SHAMPOO (GREAN TEA) FOR LONG HAIR 200 ML</t>
  </si>
  <si>
    <t>08070802120012</t>
  </si>
  <si>
    <t>DEE-DEE SHAMPOO (GRP) BOTTLE 45 ML</t>
  </si>
  <si>
    <t>08070802120052</t>
  </si>
  <si>
    <t>DEE-DEE SHAMPOO (GRP) POUCH 200 ML</t>
  </si>
  <si>
    <t>08070802120032</t>
  </si>
  <si>
    <t>DEE-DEE SHAMPOO (GRP) PUMP 250 ML</t>
  </si>
  <si>
    <t>08070802120022</t>
  </si>
  <si>
    <t>DEE-DEE SHAMPOO (GRP) REFILL 125 ML</t>
  </si>
  <si>
    <t>08070802120042</t>
  </si>
  <si>
    <t>DEE-DEE SHAMPOO (GRP) REFILL 250 ML</t>
  </si>
  <si>
    <t>08070802120013</t>
  </si>
  <si>
    <t>DEE-DEE SHAMPOO (ORG) BOTTLE 45 ML</t>
  </si>
  <si>
    <t>08070802120053</t>
  </si>
  <si>
    <t>DEE-DEE SHAMPOO (ORG) POUCH 200 ML</t>
  </si>
  <si>
    <t>08070802120033</t>
  </si>
  <si>
    <t>DEE-DEE SHAMPOO (ORG) PUMP 250 ML</t>
  </si>
  <si>
    <t>08070802120023</t>
  </si>
  <si>
    <t>DEE-DEE SHAMPOO (ORG) REFILL 125 ML</t>
  </si>
  <si>
    <t>08070802120043</t>
  </si>
  <si>
    <t>DEE-DEE SHAMPOO (ORG) REFILL 250 ML</t>
  </si>
  <si>
    <t>08070802120064</t>
  </si>
  <si>
    <t>DEE-DEE SHAMPOO (ROSE) FOR LONG HAIR 200 ML</t>
  </si>
  <si>
    <t>08070802120015</t>
  </si>
  <si>
    <t>DEE-DEE SHAMPOO (STR) BOTTLE 45 ML</t>
  </si>
  <si>
    <t>08070802120055</t>
  </si>
  <si>
    <t>DEE-DEE SHAMPOO (STR) POUCH 200 ML</t>
  </si>
  <si>
    <t>08070802120035</t>
  </si>
  <si>
    <t>DEE-DEE SHAMPOO (STR) PUMP 250 ML</t>
  </si>
  <si>
    <t>08070802120025</t>
  </si>
  <si>
    <t>DEE-DEE SHAMPOO (STR) REFILL 125 ML</t>
  </si>
  <si>
    <t>08070802120045</t>
  </si>
  <si>
    <t>DEE-DEE SHAMPOO (STR) REFILL 250 ML</t>
  </si>
  <si>
    <t>08070802290011</t>
  </si>
  <si>
    <t>DEE-DEE TALCUM POWDER (APPLE) BOTTLE 150 GR</t>
  </si>
  <si>
    <t>08070802290014</t>
  </si>
  <si>
    <t>DEE-DEE TALCUM POWDER (STR) BOTTLE 150 GR</t>
  </si>
  <si>
    <t>08070802290004</t>
  </si>
  <si>
    <t>DEE-DEE TALCUM POWDER (STR) BOTTLE 45 GR</t>
  </si>
  <si>
    <t>08070802260011</t>
  </si>
  <si>
    <t>DEE-DEE TOOTH BRUSH PREMIUM</t>
  </si>
  <si>
    <t>08070802320012</t>
  </si>
  <si>
    <t>DEE-DEE TOOTH PASTE D.MINT/T.MINT (GRP) REFILL 50 GR</t>
  </si>
  <si>
    <t>08070802320013</t>
  </si>
  <si>
    <t>DEE-DEE TOOTH PASTE D.MINT/T.MINT (ORG) REFILL 50 GR</t>
  </si>
  <si>
    <t>08070802320014</t>
  </si>
  <si>
    <t>DEE-DEE TOOTH PASTE D.MINT/T.MINT (STR) REFILL 50 GR</t>
  </si>
  <si>
    <t>08070802220003</t>
  </si>
  <si>
    <t>DEE-DEE TRAVEL PACK</t>
  </si>
  <si>
    <t>08070804160046</t>
  </si>
  <si>
    <t>GLASS CLEANER (FB) BOTTLE SPRAY 500 ML</t>
  </si>
  <si>
    <t>08070804160056</t>
  </si>
  <si>
    <t>GLASS CLEANER (FB) JRG 3.7 LT</t>
  </si>
  <si>
    <t>08070804160041</t>
  </si>
  <si>
    <t>GLASS CLEANER (FB) POUCH 410 ML</t>
  </si>
  <si>
    <t>08070804160048</t>
  </si>
  <si>
    <t>GLASS CLEANER (FL) BOTTLE SPRAY 500 ML</t>
  </si>
  <si>
    <t>08070804160043</t>
  </si>
  <si>
    <t>GLASS CLEANER (FL) POUCH 410 ML</t>
  </si>
  <si>
    <t>08070804160057</t>
  </si>
  <si>
    <t>GLASS CLEANER (LF) JRG 3.7 LT</t>
  </si>
  <si>
    <t>08070804160042</t>
  </si>
  <si>
    <t>GLASS CLEANER (LF) POUCH 410 ML</t>
  </si>
  <si>
    <t>08070804130031</t>
  </si>
  <si>
    <t>HAND SOAP (APPLE) JRG 3.7 LT</t>
  </si>
  <si>
    <t>08070804130001</t>
  </si>
  <si>
    <t>HAND SOAP (APPLE) POUCH 375 ML</t>
  </si>
  <si>
    <t>08070804130011</t>
  </si>
  <si>
    <t>HAND SOAP (APPLE) PUMP 410 ML</t>
  </si>
  <si>
    <t>08070804130032</t>
  </si>
  <si>
    <t>HAND SOAP (GRP) JRG 3.7 LT</t>
  </si>
  <si>
    <t>08070804130002</t>
  </si>
  <si>
    <t>HAND SOAP (GRP) POUCH 375 ML</t>
  </si>
  <si>
    <t>08070804130012</t>
  </si>
  <si>
    <t>HAND SOAP (GRP) PUMP 410 ML</t>
  </si>
  <si>
    <t>08070804130033</t>
  </si>
  <si>
    <t>HAND SOAP (LEMON) JRG 3.7 LT</t>
  </si>
  <si>
    <t>08070804130003</t>
  </si>
  <si>
    <t>HAND SOAP (LEMON) POUCH 375 ML</t>
  </si>
  <si>
    <t>08070804130013</t>
  </si>
  <si>
    <t>HAND SOAP (LEMON) PUMP 410 ML</t>
  </si>
  <si>
    <t>08070804130034</t>
  </si>
  <si>
    <t>HAND SOAP (ORG) JRG 3.7 LT</t>
  </si>
  <si>
    <t>08070804130004</t>
  </si>
  <si>
    <t>HAND SOAP (ORG) POUCH 375 ML</t>
  </si>
  <si>
    <t>08070804130014</t>
  </si>
  <si>
    <t>HAND SOAP (ORG) PUMP 410 ML</t>
  </si>
  <si>
    <t>08070804130035</t>
  </si>
  <si>
    <t>HAND SOAP (STR) JRG 3.7 LT</t>
  </si>
  <si>
    <t>08070804130005</t>
  </si>
  <si>
    <t>HAND SOAP (STR) POUCH 375 ML</t>
  </si>
  <si>
    <t>08070804130015</t>
  </si>
  <si>
    <t>HAND SOAP (STR) PUMP 410 ML</t>
  </si>
  <si>
    <t>08070804130041</t>
  </si>
  <si>
    <t>HAND SOAP PRE (GREEN TEA) POUCH 375 ML</t>
  </si>
  <si>
    <t>08070804130047</t>
  </si>
  <si>
    <t>HAND SOAP PRE (LAV) POUCH 375 ML</t>
  </si>
  <si>
    <t>08070804130046</t>
  </si>
  <si>
    <t>HAND SOAP PRE (ROSE) POUCH 375 ML</t>
  </si>
  <si>
    <t>08070804130051</t>
  </si>
  <si>
    <t>HAND SOAP PRE FOAMING (GREEN TEA) PUMP 410 ML</t>
  </si>
  <si>
    <t>08070804130057</t>
  </si>
  <si>
    <t>HAND SOAP PRE FOAMING (LAV) PUMP 410 ML</t>
  </si>
  <si>
    <t>08070804130056</t>
  </si>
  <si>
    <t>HAND SOAP PRE FOAMING (ROSE) PUMP 410 ML</t>
  </si>
  <si>
    <t>08070804160124</t>
  </si>
  <si>
    <t>LIGENT (BABY PUMP) 450ML+FREE</t>
  </si>
  <si>
    <t>08070804160106</t>
  </si>
  <si>
    <t>LIGENT (GRAPE FRUIT) BOTTLE 1000 ML</t>
  </si>
  <si>
    <t>08070804160107</t>
  </si>
  <si>
    <t>LIGENT (GRAPE FRUIT) JRG 3.7 LT</t>
  </si>
  <si>
    <t>08070804160108</t>
  </si>
  <si>
    <t>LIGENT (GRAPE FRUIT) POUCH 180 ML</t>
  </si>
  <si>
    <t>08070804160019</t>
  </si>
  <si>
    <t>LIGENT (GRAPE FRUIT) POUCH 600 ML FREE GIFT (SCAN 2X)</t>
  </si>
  <si>
    <t>08070804160105</t>
  </si>
  <si>
    <t>LIGENT (GRAPE FRUIT) POUCH 700 ML</t>
  </si>
  <si>
    <t>08070804160023</t>
  </si>
  <si>
    <t>LIGENT (LEMON &amp; BERGAMOT) 600ML BELI 1 GRATIS 1</t>
  </si>
  <si>
    <t>08070804160066</t>
  </si>
  <si>
    <t>LIGENT (LEMON) BOTTLE 1000 ML</t>
  </si>
  <si>
    <t>08070804160068</t>
  </si>
  <si>
    <t>LIGENT (LEMON) JRG 3.7 LT</t>
  </si>
  <si>
    <t>08070804160062</t>
  </si>
  <si>
    <t>LIGENT (LEMON) POUCH 180 ML</t>
  </si>
  <si>
    <t>08070804160064</t>
  </si>
  <si>
    <t>LIGENT (LEMON) POUCH 700 ML</t>
  </si>
  <si>
    <t>08070804160018</t>
  </si>
  <si>
    <t>LIGENT (LIME &amp; BERGAMOT) 600ML BELI 1 GRATIS 1</t>
  </si>
  <si>
    <t>08070804160065</t>
  </si>
  <si>
    <t>LIGENT (LIME) BOTTLE 1000 ML</t>
  </si>
  <si>
    <t>08070804160067</t>
  </si>
  <si>
    <t>LIGENT (LIME) JRG 3.7 LT</t>
  </si>
  <si>
    <t>08070804160061</t>
  </si>
  <si>
    <t>LIGENT (LIME) POUCH 180 ML</t>
  </si>
  <si>
    <t>08070804160063</t>
  </si>
  <si>
    <t>LIGENT (LIME) POUCH 700 ML</t>
  </si>
  <si>
    <t>08070804160125</t>
  </si>
  <si>
    <t>LIGENT BABY POUCH 410ML</t>
  </si>
  <si>
    <t>08070804310053</t>
  </si>
  <si>
    <t>LYSORIN 630 ML</t>
  </si>
  <si>
    <t>08070804310051</t>
  </si>
  <si>
    <t>LYSORIN BOTTLE 1000 ML</t>
  </si>
  <si>
    <t>08070804310052</t>
  </si>
  <si>
    <t>LYSORIN JRG 3.7 LT</t>
  </si>
  <si>
    <t>08070802220004</t>
  </si>
  <si>
    <t>PAKET BABY DEE TOILETRIS MIX PCS</t>
  </si>
  <si>
    <t>08070802220002</t>
  </si>
  <si>
    <t>PAKET DEE-DEE II / GIFT PACK</t>
  </si>
  <si>
    <t>08070802220001</t>
  </si>
  <si>
    <t>PAKET DEE-DEE TOILETRIES</t>
  </si>
  <si>
    <t>08070804310063</t>
  </si>
  <si>
    <t>PORSTEX KLOSET BOTTLE 500 ML</t>
  </si>
  <si>
    <t>08070804310087</t>
  </si>
  <si>
    <t>PORSTEX REGULAR (FRE LI) BOTTLE 700 ML</t>
  </si>
  <si>
    <t>08070804310086</t>
  </si>
  <si>
    <t>PORSTEX REGULAR (OC BLUE) BOTTLE 700 ML</t>
  </si>
  <si>
    <t>08070804310067</t>
  </si>
  <si>
    <t>PORSTEX WB (UNGU) BOTTLE 1000 ML</t>
  </si>
  <si>
    <t>08070804310072</t>
  </si>
  <si>
    <t>PORSTEX WB (UNGU) BOTTLE 2000 ML</t>
  </si>
  <si>
    <t>08070804310062</t>
  </si>
  <si>
    <t>PORSTEX WB (UNGU) BOTTLE 500 ML</t>
  </si>
  <si>
    <t>08070804310077</t>
  </si>
  <si>
    <t>PORSTEX WB (UNGU) JRG 3.7 LT</t>
  </si>
  <si>
    <t>08070804310066</t>
  </si>
  <si>
    <t>PORSTEX WL (BIRU) BOTTLE 1000 ML</t>
  </si>
  <si>
    <t>08070804310071</t>
  </si>
  <si>
    <t>PORSTEX WL (BIRU) BOTTLE 2000 ML</t>
  </si>
  <si>
    <t>08070804310061</t>
  </si>
  <si>
    <t>PORSTEX WL (BIRU) BOTTLE 500 ML</t>
  </si>
  <si>
    <t>08070804310076</t>
  </si>
  <si>
    <t>PORSTEX WL (BIRU) JRG 3.7 LT</t>
  </si>
  <si>
    <t>08070804150002</t>
  </si>
  <si>
    <t>TAF (FRESH BLUE) BOTTLE 500 ML</t>
  </si>
  <si>
    <t>08070804150001</t>
  </si>
  <si>
    <t>TAF (LEMON LIME) BOTTLE 500 ML</t>
  </si>
  <si>
    <t>08070804150011</t>
  </si>
  <si>
    <t>TAF (LEMON LIME) JRG 3.7 LT</t>
  </si>
  <si>
    <t>08070804150024</t>
  </si>
  <si>
    <t>TAF BATHROOM CLEANER 375 ML</t>
  </si>
  <si>
    <t>08070804150004</t>
  </si>
  <si>
    <t>TAF BATHROOM CLEANER 500 ML</t>
  </si>
  <si>
    <t>08070804150023</t>
  </si>
  <si>
    <t>TAF KITCHEN CLEANER 375 ML</t>
  </si>
  <si>
    <t>08070804150003</t>
  </si>
  <si>
    <t>TAF KITCHEN CLEANER 500 ML</t>
  </si>
  <si>
    <t>08070804160090</t>
  </si>
  <si>
    <t>TRIL (FLORAL) POUCH 410 ML</t>
  </si>
  <si>
    <t>08070804160093</t>
  </si>
  <si>
    <t>TRIL (LAVENDER) POUCH 410 ML</t>
  </si>
  <si>
    <t>08070804160201</t>
  </si>
  <si>
    <t>YURI DISINFECTANT SPRAY 12X500ML</t>
  </si>
  <si>
    <t>08070804160203</t>
  </si>
  <si>
    <t>YURI DISINFECTANT SPRAY PCH 24x410ML</t>
  </si>
  <si>
    <t>08070804130081</t>
  </si>
  <si>
    <t>YURI HAND SOAP APPLE 375ML (BUY 1 GET 1)</t>
  </si>
  <si>
    <t>08070804130082</t>
  </si>
  <si>
    <t>YURI HAND SOAP GRAPE 375ML (BUY 1 GET 1)</t>
  </si>
  <si>
    <t>08070804130083</t>
  </si>
  <si>
    <t>YURI HAND SOAP LEMON 375ML (BUY 1 GET 1)</t>
  </si>
  <si>
    <t>08070804130084</t>
  </si>
  <si>
    <t>YURI HAND SOAP ORANGE 375ML (BUY 1 GET 1)</t>
  </si>
  <si>
    <t>08070804130085</t>
  </si>
  <si>
    <t>YURI HAND SOAP STRAWBERRY 375ML (BUY 1 GET 1)</t>
  </si>
  <si>
    <t>08070804160211</t>
  </si>
  <si>
    <t>YURI LAUNDRY DISINFECTANT 24X410ML</t>
  </si>
  <si>
    <t>08070804160085</t>
  </si>
  <si>
    <t>YURI MATIC (FL) JRG 3.7 LT</t>
  </si>
  <si>
    <t>08070804160079</t>
  </si>
  <si>
    <t>YURI MATIC (FL) POUCH 1600 ML</t>
  </si>
  <si>
    <t>08070804160083</t>
  </si>
  <si>
    <t>YURI MATIC (RB) JRG 3.7 LT</t>
  </si>
  <si>
    <t>08070804160077</t>
  </si>
  <si>
    <t>YURI MATIC (RB) POUCH 1600 ML</t>
  </si>
  <si>
    <t>08070804160071</t>
  </si>
  <si>
    <t>YURI MATIC (RB) POUCH 630 ML</t>
  </si>
  <si>
    <t>08070804160075</t>
  </si>
  <si>
    <t>YURI MATIC (RP) BOTTLE 1000 ML</t>
  </si>
  <si>
    <t>08070804160084</t>
  </si>
  <si>
    <t>YURI MATIC (RP) JRG 3.7 LT</t>
  </si>
  <si>
    <t>08070804160078</t>
  </si>
  <si>
    <t>YURI MATIC (RP) POUCH 1600 ML</t>
  </si>
  <si>
    <t>08070804160072</t>
  </si>
  <si>
    <t>YURI MATIC (RP) POUCH 630 ML</t>
  </si>
  <si>
    <t>08070804160214</t>
  </si>
  <si>
    <t>YURI PORSTEX REGULER OCEAN BLUE/ 160ML EXTRA 40ML</t>
  </si>
  <si>
    <t>08070804160131</t>
  </si>
  <si>
    <t>YURI-SOFT FLORAL 12X630ML</t>
  </si>
  <si>
    <t>08070804160132</t>
  </si>
  <si>
    <t>YURI-SOFT LAVENDER 12X630ML</t>
  </si>
  <si>
    <t>08070804160133</t>
  </si>
  <si>
    <t>YURI-SOFT ROMANTIC 12X630ML</t>
  </si>
  <si>
    <t>08070804310094</t>
  </si>
  <si>
    <t>YURI-SOL (PINE ORIGINAL) BOTTLE 1000 ML</t>
  </si>
  <si>
    <t>08070804310092</t>
  </si>
  <si>
    <t>YURI-SOL (PINE ORIGINAL) POUCH 700 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</si>
</sst>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93"/>
  <sheetViews>
    <sheetView tabSelected="1" workbookViewId="0">
      <selection activeCell="Q14" sqref="Q14"/>
    </sheetView>
  </sheetViews>
  <sheetFormatPr defaultRowHeight="15" x14ac:dyDescent="0.25"/>
  <cols>
    <col min="1" max="1" width="4" bestFit="1" customWidth="1"/>
    <col min="2" max="2" width="7.42578125" bestFit="1" customWidth="1"/>
    <col min="3" max="3" width="24.7109375" bestFit="1" customWidth="1"/>
    <col min="4" max="4" width="8.85546875" bestFit="1" customWidth="1"/>
    <col min="5" max="5" width="8.140625" bestFit="1" customWidth="1"/>
    <col min="6" max="6" width="11.5703125" bestFit="1" customWidth="1"/>
    <col min="7" max="7" width="17.42578125" bestFit="1" customWidth="1"/>
    <col min="8" max="8" width="8.42578125" bestFit="1" customWidth="1"/>
    <col min="9" max="9" width="11.7109375" bestFit="1" customWidth="1"/>
    <col min="10" max="10" width="15.140625" bestFit="1" customWidth="1"/>
    <col min="11" max="11" width="75.85546875" bestFit="1" customWidth="1"/>
    <col min="12" max="12" width="8.42578125" bestFit="1" customWidth="1"/>
    <col min="13" max="13" width="8.5703125" bestFit="1" customWidth="1"/>
    <col min="14" max="14" width="12" bestFit="1" customWidth="1"/>
    <col min="15" max="15" width="8.5703125" bestFit="1" customWidth="1"/>
    <col min="16" max="16" width="8.5703125" style="1" bestFit="1" customWidth="1"/>
    <col min="17" max="17" width="11" style="1" bestFit="1" customWidth="1"/>
  </cols>
  <sheetData>
    <row r="1" spans="1:18" x14ac:dyDescent="0.25">
      <c r="Q1" s="1">
        <f>SUM(Q3:Q193)</f>
        <v>2658.5694444444439</v>
      </c>
    </row>
    <row r="2" spans="1:18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s="1" t="s">
        <v>15</v>
      </c>
      <c r="Q2" s="1" t="s">
        <v>16</v>
      </c>
    </row>
    <row r="3" spans="1:18" x14ac:dyDescent="0.25">
      <c r="A3">
        <v>1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J3" t="s">
        <v>25</v>
      </c>
      <c r="K3" t="s">
        <v>26</v>
      </c>
      <c r="L3">
        <v>2</v>
      </c>
      <c r="M3">
        <v>10</v>
      </c>
      <c r="N3">
        <v>576006.75</v>
      </c>
      <c r="O3">
        <v>12</v>
      </c>
      <c r="P3" s="1">
        <f>M3/O3</f>
        <v>0.83333333333333337</v>
      </c>
      <c r="Q3" s="1">
        <f>L3+P3</f>
        <v>2.8333333333333335</v>
      </c>
      <c r="R3" s="1"/>
    </row>
    <row r="4" spans="1:18" x14ac:dyDescent="0.25">
      <c r="A4">
        <v>2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  <c r="G4" t="s">
        <v>22</v>
      </c>
      <c r="H4" t="s">
        <v>23</v>
      </c>
      <c r="I4" t="s">
        <v>24</v>
      </c>
      <c r="J4" t="s">
        <v>27</v>
      </c>
      <c r="K4" t="s">
        <v>28</v>
      </c>
      <c r="L4">
        <v>2</v>
      </c>
      <c r="M4">
        <v>2</v>
      </c>
      <c r="N4">
        <v>500698.8</v>
      </c>
      <c r="O4">
        <v>4</v>
      </c>
      <c r="P4" s="1">
        <f t="shared" ref="P4:P67" si="0">M4/O4</f>
        <v>0.5</v>
      </c>
      <c r="Q4" s="1">
        <f t="shared" ref="Q4:Q67" si="1">L4+P4</f>
        <v>2.5</v>
      </c>
      <c r="R4" s="1"/>
    </row>
    <row r="5" spans="1:18" x14ac:dyDescent="0.25">
      <c r="A5">
        <v>3</v>
      </c>
      <c r="B5" t="s">
        <v>17</v>
      </c>
      <c r="C5" t="s">
        <v>18</v>
      </c>
      <c r="D5" t="s">
        <v>19</v>
      </c>
      <c r="E5" t="s">
        <v>20</v>
      </c>
      <c r="F5" t="s">
        <v>21</v>
      </c>
      <c r="G5" t="s">
        <v>22</v>
      </c>
      <c r="H5" t="s">
        <v>23</v>
      </c>
      <c r="I5" t="s">
        <v>24</v>
      </c>
      <c r="J5" t="s">
        <v>29</v>
      </c>
      <c r="K5" t="s">
        <v>30</v>
      </c>
      <c r="L5">
        <v>2</v>
      </c>
      <c r="M5">
        <v>8</v>
      </c>
      <c r="N5">
        <v>351559.2</v>
      </c>
      <c r="O5">
        <v>12</v>
      </c>
      <c r="P5" s="1">
        <f t="shared" si="0"/>
        <v>0.66666666666666663</v>
      </c>
      <c r="Q5" s="1">
        <f t="shared" si="1"/>
        <v>2.6666666666666665</v>
      </c>
      <c r="R5" s="1"/>
    </row>
    <row r="6" spans="1:18" x14ac:dyDescent="0.25">
      <c r="A6">
        <v>4</v>
      </c>
      <c r="B6" t="s">
        <v>17</v>
      </c>
      <c r="C6" t="s">
        <v>18</v>
      </c>
      <c r="D6" t="s">
        <v>19</v>
      </c>
      <c r="E6" t="s">
        <v>20</v>
      </c>
      <c r="F6" t="s">
        <v>21</v>
      </c>
      <c r="G6" t="s">
        <v>22</v>
      </c>
      <c r="H6" t="s">
        <v>23</v>
      </c>
      <c r="I6" t="s">
        <v>24</v>
      </c>
      <c r="J6" t="s">
        <v>31</v>
      </c>
      <c r="K6" t="s">
        <v>32</v>
      </c>
      <c r="L6">
        <v>0</v>
      </c>
      <c r="M6">
        <v>3</v>
      </c>
      <c r="N6">
        <v>50824.13</v>
      </c>
      <c r="O6">
        <v>12</v>
      </c>
      <c r="P6" s="1">
        <f t="shared" si="0"/>
        <v>0.25</v>
      </c>
      <c r="Q6" s="1">
        <f t="shared" si="1"/>
        <v>0.25</v>
      </c>
      <c r="R6" s="1"/>
    </row>
    <row r="7" spans="1:18" x14ac:dyDescent="0.25">
      <c r="A7">
        <v>5</v>
      </c>
      <c r="B7" t="s">
        <v>17</v>
      </c>
      <c r="C7" t="s">
        <v>18</v>
      </c>
      <c r="D7" t="s">
        <v>19</v>
      </c>
      <c r="E7" t="s">
        <v>20</v>
      </c>
      <c r="F7" t="s">
        <v>21</v>
      </c>
      <c r="G7" t="s">
        <v>22</v>
      </c>
      <c r="H7" t="s">
        <v>23</v>
      </c>
      <c r="I7" t="s">
        <v>24</v>
      </c>
      <c r="J7" t="s">
        <v>33</v>
      </c>
      <c r="K7" t="s">
        <v>34</v>
      </c>
      <c r="L7">
        <v>3</v>
      </c>
      <c r="M7">
        <v>3</v>
      </c>
      <c r="N7">
        <v>610197.53</v>
      </c>
      <c r="O7">
        <v>6</v>
      </c>
      <c r="P7" s="1">
        <f t="shared" si="0"/>
        <v>0.5</v>
      </c>
      <c r="Q7" s="1">
        <f t="shared" si="1"/>
        <v>3.5</v>
      </c>
      <c r="R7" s="1"/>
    </row>
    <row r="8" spans="1:18" x14ac:dyDescent="0.25">
      <c r="A8">
        <v>6</v>
      </c>
      <c r="B8" t="s">
        <v>17</v>
      </c>
      <c r="C8" t="s">
        <v>18</v>
      </c>
      <c r="D8" t="s">
        <v>19</v>
      </c>
      <c r="E8" t="s">
        <v>20</v>
      </c>
      <c r="F8" t="s">
        <v>21</v>
      </c>
      <c r="G8" t="s">
        <v>22</v>
      </c>
      <c r="H8" t="s">
        <v>23</v>
      </c>
      <c r="I8" t="s">
        <v>24</v>
      </c>
      <c r="J8" t="s">
        <v>35</v>
      </c>
      <c r="K8" t="s">
        <v>36</v>
      </c>
      <c r="L8">
        <v>11</v>
      </c>
      <c r="M8">
        <v>1</v>
      </c>
      <c r="N8">
        <v>2253144.6</v>
      </c>
      <c r="O8">
        <v>4</v>
      </c>
      <c r="P8" s="1">
        <f t="shared" si="0"/>
        <v>0.25</v>
      </c>
      <c r="Q8" s="1">
        <f t="shared" si="1"/>
        <v>11.25</v>
      </c>
      <c r="R8" s="1"/>
    </row>
    <row r="9" spans="1:18" x14ac:dyDescent="0.25">
      <c r="A9">
        <v>7</v>
      </c>
      <c r="B9" t="s">
        <v>17</v>
      </c>
      <c r="C9" t="s">
        <v>18</v>
      </c>
      <c r="D9" t="s">
        <v>19</v>
      </c>
      <c r="E9" t="s">
        <v>20</v>
      </c>
      <c r="F9" t="s">
        <v>21</v>
      </c>
      <c r="G9" t="s">
        <v>22</v>
      </c>
      <c r="H9" t="s">
        <v>23</v>
      </c>
      <c r="I9" t="s">
        <v>24</v>
      </c>
      <c r="J9" t="s">
        <v>37</v>
      </c>
      <c r="K9" t="s">
        <v>38</v>
      </c>
      <c r="L9">
        <v>10</v>
      </c>
      <c r="M9">
        <v>7</v>
      </c>
      <c r="N9">
        <v>1395250.58</v>
      </c>
      <c r="O9">
        <v>12</v>
      </c>
      <c r="P9" s="1">
        <f t="shared" si="0"/>
        <v>0.58333333333333337</v>
      </c>
      <c r="Q9" s="1">
        <f t="shared" si="1"/>
        <v>10.583333333333334</v>
      </c>
      <c r="R9" s="1"/>
    </row>
    <row r="10" spans="1:18" x14ac:dyDescent="0.25">
      <c r="A10">
        <v>8</v>
      </c>
      <c r="B10" t="s">
        <v>17</v>
      </c>
      <c r="C10" t="s">
        <v>18</v>
      </c>
      <c r="D10" t="s">
        <v>19</v>
      </c>
      <c r="E10" t="s">
        <v>20</v>
      </c>
      <c r="F10" t="s">
        <v>21</v>
      </c>
      <c r="G10" t="s">
        <v>22</v>
      </c>
      <c r="H10" t="s">
        <v>23</v>
      </c>
      <c r="I10" t="s">
        <v>24</v>
      </c>
      <c r="J10" t="s">
        <v>39</v>
      </c>
      <c r="K10" t="s">
        <v>40</v>
      </c>
      <c r="L10">
        <v>1</v>
      </c>
      <c r="M10">
        <v>1</v>
      </c>
      <c r="N10">
        <v>220237.88</v>
      </c>
      <c r="O10">
        <v>12</v>
      </c>
      <c r="P10" s="1">
        <f t="shared" si="0"/>
        <v>8.3333333333333329E-2</v>
      </c>
      <c r="Q10" s="1">
        <f t="shared" si="1"/>
        <v>1.0833333333333333</v>
      </c>
      <c r="R10" s="1"/>
    </row>
    <row r="11" spans="1:18" x14ac:dyDescent="0.25">
      <c r="A11">
        <v>9</v>
      </c>
      <c r="B11" t="s">
        <v>17</v>
      </c>
      <c r="C11" t="s">
        <v>18</v>
      </c>
      <c r="D11" t="s">
        <v>19</v>
      </c>
      <c r="E11" t="s">
        <v>20</v>
      </c>
      <c r="F11" t="s">
        <v>21</v>
      </c>
      <c r="G11" t="s">
        <v>22</v>
      </c>
      <c r="H11" t="s">
        <v>23</v>
      </c>
      <c r="I11" t="s">
        <v>24</v>
      </c>
      <c r="J11" t="s">
        <v>41</v>
      </c>
      <c r="K11" t="s">
        <v>42</v>
      </c>
      <c r="L11">
        <v>0</v>
      </c>
      <c r="M11">
        <v>3</v>
      </c>
      <c r="N11">
        <v>87171.08</v>
      </c>
      <c r="O11">
        <v>6</v>
      </c>
      <c r="P11" s="1">
        <f t="shared" si="0"/>
        <v>0.5</v>
      </c>
      <c r="Q11" s="1">
        <f t="shared" si="1"/>
        <v>0.5</v>
      </c>
      <c r="R11" s="1"/>
    </row>
    <row r="12" spans="1:18" x14ac:dyDescent="0.25">
      <c r="A12">
        <v>10</v>
      </c>
      <c r="B12" t="s">
        <v>17</v>
      </c>
      <c r="C12" t="s">
        <v>18</v>
      </c>
      <c r="D12" t="s">
        <v>19</v>
      </c>
      <c r="E12" t="s">
        <v>20</v>
      </c>
      <c r="F12" t="s">
        <v>21</v>
      </c>
      <c r="G12" t="s">
        <v>22</v>
      </c>
      <c r="H12" t="s">
        <v>23</v>
      </c>
      <c r="I12" t="s">
        <v>24</v>
      </c>
      <c r="J12" t="s">
        <v>43</v>
      </c>
      <c r="K12" t="s">
        <v>44</v>
      </c>
      <c r="L12">
        <v>4</v>
      </c>
      <c r="M12">
        <v>1</v>
      </c>
      <c r="N12">
        <v>851187.96</v>
      </c>
      <c r="O12">
        <v>4</v>
      </c>
      <c r="P12" s="1">
        <f t="shared" si="0"/>
        <v>0.25</v>
      </c>
      <c r="Q12" s="1">
        <f t="shared" si="1"/>
        <v>4.25</v>
      </c>
      <c r="R12" s="1"/>
    </row>
    <row r="13" spans="1:18" x14ac:dyDescent="0.25">
      <c r="A13">
        <v>11</v>
      </c>
      <c r="B13" t="s">
        <v>17</v>
      </c>
      <c r="C13" t="s">
        <v>18</v>
      </c>
      <c r="D13" t="s">
        <v>19</v>
      </c>
      <c r="E13" t="s">
        <v>20</v>
      </c>
      <c r="F13" t="s">
        <v>21</v>
      </c>
      <c r="G13" t="s">
        <v>22</v>
      </c>
      <c r="H13" t="s">
        <v>23</v>
      </c>
      <c r="I13" t="s">
        <v>24</v>
      </c>
      <c r="J13" t="s">
        <v>45</v>
      </c>
      <c r="K13" t="s">
        <v>46</v>
      </c>
      <c r="L13">
        <v>0</v>
      </c>
      <c r="M13">
        <v>9</v>
      </c>
      <c r="N13">
        <v>98876.03</v>
      </c>
      <c r="O13">
        <v>12</v>
      </c>
      <c r="P13" s="1">
        <f t="shared" si="0"/>
        <v>0.75</v>
      </c>
      <c r="Q13" s="1">
        <f t="shared" si="1"/>
        <v>0.75</v>
      </c>
      <c r="R13" s="1"/>
    </row>
    <row r="14" spans="1:18" x14ac:dyDescent="0.25">
      <c r="A14">
        <v>12</v>
      </c>
      <c r="B14" t="s">
        <v>17</v>
      </c>
      <c r="C14" t="s">
        <v>18</v>
      </c>
      <c r="D14" t="s">
        <v>19</v>
      </c>
      <c r="E14" t="s">
        <v>20</v>
      </c>
      <c r="F14" t="s">
        <v>21</v>
      </c>
      <c r="G14" t="s">
        <v>22</v>
      </c>
      <c r="H14" t="s">
        <v>23</v>
      </c>
      <c r="I14" t="s">
        <v>24</v>
      </c>
      <c r="J14" t="s">
        <v>47</v>
      </c>
      <c r="K14" t="s">
        <v>48</v>
      </c>
      <c r="L14">
        <v>3</v>
      </c>
      <c r="M14">
        <v>0</v>
      </c>
      <c r="N14">
        <v>609889.5</v>
      </c>
      <c r="O14">
        <v>12</v>
      </c>
      <c r="P14" s="1">
        <f t="shared" si="0"/>
        <v>0</v>
      </c>
      <c r="Q14" s="1">
        <f t="shared" si="1"/>
        <v>3</v>
      </c>
      <c r="R14" s="1"/>
    </row>
    <row r="15" spans="1:18" x14ac:dyDescent="0.25">
      <c r="A15">
        <v>13</v>
      </c>
      <c r="B15" t="s">
        <v>17</v>
      </c>
      <c r="C15" t="s">
        <v>18</v>
      </c>
      <c r="D15" t="s">
        <v>19</v>
      </c>
      <c r="E15" t="s">
        <v>20</v>
      </c>
      <c r="F15" t="s">
        <v>21</v>
      </c>
      <c r="G15" t="s">
        <v>22</v>
      </c>
      <c r="H15" t="s">
        <v>23</v>
      </c>
      <c r="I15" t="s">
        <v>24</v>
      </c>
      <c r="J15" t="s">
        <v>49</v>
      </c>
      <c r="K15" t="s">
        <v>50</v>
      </c>
      <c r="L15">
        <v>3</v>
      </c>
      <c r="M15">
        <v>0</v>
      </c>
      <c r="N15">
        <v>523026.45</v>
      </c>
      <c r="O15">
        <v>6</v>
      </c>
      <c r="P15" s="1">
        <f t="shared" si="0"/>
        <v>0</v>
      </c>
      <c r="Q15" s="1">
        <f t="shared" si="1"/>
        <v>3</v>
      </c>
      <c r="R15" s="1"/>
    </row>
    <row r="16" spans="1:18" x14ac:dyDescent="0.25">
      <c r="A16">
        <v>14</v>
      </c>
      <c r="B16" t="s">
        <v>17</v>
      </c>
      <c r="C16" t="s">
        <v>18</v>
      </c>
      <c r="D16" t="s">
        <v>19</v>
      </c>
      <c r="E16" t="s">
        <v>20</v>
      </c>
      <c r="F16" t="s">
        <v>21</v>
      </c>
      <c r="G16" t="s">
        <v>22</v>
      </c>
      <c r="H16" t="s">
        <v>23</v>
      </c>
      <c r="I16" t="s">
        <v>24</v>
      </c>
      <c r="J16" t="s">
        <v>51</v>
      </c>
      <c r="K16" t="s">
        <v>52</v>
      </c>
      <c r="L16">
        <v>9</v>
      </c>
      <c r="M16">
        <v>0</v>
      </c>
      <c r="N16">
        <v>1802515.68</v>
      </c>
      <c r="O16">
        <v>4</v>
      </c>
      <c r="P16" s="1">
        <f t="shared" si="0"/>
        <v>0</v>
      </c>
      <c r="Q16" s="1">
        <f t="shared" si="1"/>
        <v>9</v>
      </c>
      <c r="R16" s="1"/>
    </row>
    <row r="17" spans="1:18" x14ac:dyDescent="0.25">
      <c r="A17">
        <v>15</v>
      </c>
      <c r="B17" t="s">
        <v>17</v>
      </c>
      <c r="C17" t="s">
        <v>18</v>
      </c>
      <c r="D17" t="s">
        <v>19</v>
      </c>
      <c r="E17" t="s">
        <v>20</v>
      </c>
      <c r="F17" t="s">
        <v>21</v>
      </c>
      <c r="G17" t="s">
        <v>22</v>
      </c>
      <c r="H17" t="s">
        <v>23</v>
      </c>
      <c r="I17" t="s">
        <v>24</v>
      </c>
      <c r="J17" t="s">
        <v>53</v>
      </c>
      <c r="K17" t="s">
        <v>54</v>
      </c>
      <c r="L17">
        <v>31</v>
      </c>
      <c r="M17">
        <v>4</v>
      </c>
      <c r="N17">
        <v>4130820.6</v>
      </c>
      <c r="O17">
        <v>12</v>
      </c>
      <c r="P17" s="1">
        <f t="shared" si="0"/>
        <v>0.33333333333333331</v>
      </c>
      <c r="Q17" s="1">
        <f t="shared" si="1"/>
        <v>31.333333333333332</v>
      </c>
      <c r="R17" s="1"/>
    </row>
    <row r="18" spans="1:18" x14ac:dyDescent="0.25">
      <c r="A18">
        <v>16</v>
      </c>
      <c r="B18" t="s">
        <v>17</v>
      </c>
      <c r="C18" t="s">
        <v>18</v>
      </c>
      <c r="D18" t="s">
        <v>19</v>
      </c>
      <c r="E18" t="s">
        <v>20</v>
      </c>
      <c r="F18" t="s">
        <v>21</v>
      </c>
      <c r="G18" t="s">
        <v>22</v>
      </c>
      <c r="H18" t="s">
        <v>23</v>
      </c>
      <c r="I18" t="s">
        <v>24</v>
      </c>
      <c r="J18" t="s">
        <v>55</v>
      </c>
      <c r="K18" t="s">
        <v>56</v>
      </c>
      <c r="L18">
        <v>4</v>
      </c>
      <c r="M18">
        <v>8</v>
      </c>
      <c r="N18">
        <v>569229.92000000004</v>
      </c>
      <c r="O18">
        <v>12</v>
      </c>
      <c r="P18" s="1">
        <f t="shared" si="0"/>
        <v>0.66666666666666663</v>
      </c>
      <c r="Q18" s="1">
        <f t="shared" si="1"/>
        <v>4.666666666666667</v>
      </c>
      <c r="R18" s="1"/>
    </row>
    <row r="19" spans="1:18" x14ac:dyDescent="0.25">
      <c r="A19">
        <v>17</v>
      </c>
      <c r="B19" t="s">
        <v>17</v>
      </c>
      <c r="C19" t="s">
        <v>18</v>
      </c>
      <c r="D19" t="s">
        <v>19</v>
      </c>
      <c r="E19" t="s">
        <v>20</v>
      </c>
      <c r="F19" t="s">
        <v>21</v>
      </c>
      <c r="G19" t="s">
        <v>22</v>
      </c>
      <c r="H19" t="s">
        <v>23</v>
      </c>
      <c r="I19" t="s">
        <v>24</v>
      </c>
      <c r="J19" t="s">
        <v>57</v>
      </c>
      <c r="K19" t="s">
        <v>58</v>
      </c>
      <c r="L19">
        <v>5</v>
      </c>
      <c r="M19">
        <v>13</v>
      </c>
      <c r="N19">
        <v>2034710.48</v>
      </c>
      <c r="O19">
        <v>24</v>
      </c>
      <c r="P19" s="1">
        <f t="shared" si="0"/>
        <v>0.54166666666666663</v>
      </c>
      <c r="Q19" s="1">
        <f t="shared" si="1"/>
        <v>5.541666666666667</v>
      </c>
      <c r="R19" s="1"/>
    </row>
    <row r="20" spans="1:18" x14ac:dyDescent="0.25">
      <c r="A20">
        <v>18</v>
      </c>
      <c r="B20" t="s">
        <v>17</v>
      </c>
      <c r="C20" t="s">
        <v>18</v>
      </c>
      <c r="D20" t="s">
        <v>19</v>
      </c>
      <c r="E20" t="s">
        <v>20</v>
      </c>
      <c r="F20" t="s">
        <v>21</v>
      </c>
      <c r="G20" t="s">
        <v>22</v>
      </c>
      <c r="H20" t="s">
        <v>23</v>
      </c>
      <c r="I20" t="s">
        <v>24</v>
      </c>
      <c r="J20" t="s">
        <v>59</v>
      </c>
      <c r="K20" t="s">
        <v>60</v>
      </c>
      <c r="L20">
        <v>4</v>
      </c>
      <c r="M20">
        <v>23</v>
      </c>
      <c r="N20">
        <v>1820530.43</v>
      </c>
      <c r="O20">
        <v>24</v>
      </c>
      <c r="P20" s="1">
        <f t="shared" si="0"/>
        <v>0.95833333333333337</v>
      </c>
      <c r="Q20" s="1">
        <f t="shared" si="1"/>
        <v>4.958333333333333</v>
      </c>
      <c r="R20" s="1"/>
    </row>
    <row r="21" spans="1:18" x14ac:dyDescent="0.25">
      <c r="A21">
        <v>19</v>
      </c>
      <c r="B21" t="s">
        <v>17</v>
      </c>
      <c r="C21" t="s">
        <v>18</v>
      </c>
      <c r="D21" t="s">
        <v>19</v>
      </c>
      <c r="E21" t="s">
        <v>20</v>
      </c>
      <c r="F21" t="s">
        <v>21</v>
      </c>
      <c r="G21" t="s">
        <v>22</v>
      </c>
      <c r="H21" t="s">
        <v>23</v>
      </c>
      <c r="I21" t="s">
        <v>24</v>
      </c>
      <c r="J21" t="s">
        <v>61</v>
      </c>
      <c r="K21" t="s">
        <v>62</v>
      </c>
      <c r="L21">
        <v>3</v>
      </c>
      <c r="M21">
        <v>9</v>
      </c>
      <c r="N21">
        <v>559065.59999999998</v>
      </c>
      <c r="O21">
        <v>12</v>
      </c>
      <c r="P21" s="1">
        <f t="shared" si="0"/>
        <v>0.75</v>
      </c>
      <c r="Q21" s="1">
        <f t="shared" si="1"/>
        <v>3.75</v>
      </c>
      <c r="R21" s="1"/>
    </row>
    <row r="22" spans="1:18" x14ac:dyDescent="0.25">
      <c r="A22">
        <v>20</v>
      </c>
      <c r="B22" t="s">
        <v>17</v>
      </c>
      <c r="C22" t="s">
        <v>18</v>
      </c>
      <c r="D22" t="s">
        <v>19</v>
      </c>
      <c r="E22" t="s">
        <v>20</v>
      </c>
      <c r="F22" t="s">
        <v>21</v>
      </c>
      <c r="G22" t="s">
        <v>22</v>
      </c>
      <c r="H22" t="s">
        <v>23</v>
      </c>
      <c r="I22" t="s">
        <v>24</v>
      </c>
      <c r="J22" t="s">
        <v>63</v>
      </c>
      <c r="K22" t="s">
        <v>64</v>
      </c>
      <c r="L22">
        <v>2</v>
      </c>
      <c r="M22">
        <v>6</v>
      </c>
      <c r="N22">
        <v>372710.40000000002</v>
      </c>
      <c r="O22">
        <v>12</v>
      </c>
      <c r="P22" s="1">
        <f t="shared" si="0"/>
        <v>0.5</v>
      </c>
      <c r="Q22" s="1">
        <f t="shared" si="1"/>
        <v>2.5</v>
      </c>
      <c r="R22" s="1"/>
    </row>
    <row r="23" spans="1:18" x14ac:dyDescent="0.25">
      <c r="A23">
        <v>21</v>
      </c>
      <c r="B23" t="s">
        <v>17</v>
      </c>
      <c r="C23" t="s">
        <v>18</v>
      </c>
      <c r="D23" t="s">
        <v>19</v>
      </c>
      <c r="E23" t="s">
        <v>20</v>
      </c>
      <c r="F23" t="s">
        <v>21</v>
      </c>
      <c r="G23" t="s">
        <v>22</v>
      </c>
      <c r="H23" t="s">
        <v>23</v>
      </c>
      <c r="I23" t="s">
        <v>24</v>
      </c>
      <c r="J23" t="s">
        <v>65</v>
      </c>
      <c r="K23" t="s">
        <v>66</v>
      </c>
      <c r="L23">
        <v>0</v>
      </c>
      <c r="M23">
        <v>1</v>
      </c>
      <c r="N23">
        <v>18481.5</v>
      </c>
      <c r="O23">
        <v>12</v>
      </c>
      <c r="P23" s="1">
        <f t="shared" si="0"/>
        <v>8.3333333333333329E-2</v>
      </c>
      <c r="Q23" s="1">
        <f t="shared" si="1"/>
        <v>8.3333333333333329E-2</v>
      </c>
      <c r="R23" s="1"/>
    </row>
    <row r="24" spans="1:18" x14ac:dyDescent="0.25">
      <c r="A24">
        <v>22</v>
      </c>
      <c r="B24" t="s">
        <v>17</v>
      </c>
      <c r="C24" t="s">
        <v>18</v>
      </c>
      <c r="D24" t="s">
        <v>19</v>
      </c>
      <c r="E24" t="s">
        <v>20</v>
      </c>
      <c r="F24" t="s">
        <v>21</v>
      </c>
      <c r="G24" t="s">
        <v>22</v>
      </c>
      <c r="H24" t="s">
        <v>23</v>
      </c>
      <c r="I24" t="s">
        <v>24</v>
      </c>
      <c r="J24" t="s">
        <v>67</v>
      </c>
      <c r="K24" t="s">
        <v>68</v>
      </c>
      <c r="L24">
        <v>2</v>
      </c>
      <c r="M24">
        <v>0</v>
      </c>
      <c r="N24">
        <v>889576.32</v>
      </c>
      <c r="O24">
        <v>12</v>
      </c>
      <c r="P24" s="1">
        <f t="shared" si="0"/>
        <v>0</v>
      </c>
      <c r="Q24" s="1">
        <f t="shared" si="1"/>
        <v>2</v>
      </c>
      <c r="R24" s="1"/>
    </row>
    <row r="25" spans="1:18" x14ac:dyDescent="0.25">
      <c r="A25">
        <v>23</v>
      </c>
      <c r="B25" t="s">
        <v>17</v>
      </c>
      <c r="C25" t="s">
        <v>18</v>
      </c>
      <c r="D25" t="s">
        <v>19</v>
      </c>
      <c r="E25" t="s">
        <v>20</v>
      </c>
      <c r="F25" t="s">
        <v>21</v>
      </c>
      <c r="G25" t="s">
        <v>22</v>
      </c>
      <c r="H25" t="s">
        <v>23</v>
      </c>
      <c r="I25" t="s">
        <v>24</v>
      </c>
      <c r="J25" t="s">
        <v>69</v>
      </c>
      <c r="K25" t="s">
        <v>70</v>
      </c>
      <c r="L25">
        <v>0</v>
      </c>
      <c r="M25">
        <v>0</v>
      </c>
      <c r="N25">
        <v>0</v>
      </c>
      <c r="O25">
        <v>12</v>
      </c>
      <c r="P25" s="1">
        <f t="shared" si="0"/>
        <v>0</v>
      </c>
      <c r="Q25" s="1">
        <f t="shared" si="1"/>
        <v>0</v>
      </c>
      <c r="R25" s="1"/>
    </row>
    <row r="26" spans="1:18" x14ac:dyDescent="0.25">
      <c r="A26">
        <v>24</v>
      </c>
      <c r="B26" t="s">
        <v>17</v>
      </c>
      <c r="C26" t="s">
        <v>18</v>
      </c>
      <c r="D26" t="s">
        <v>19</v>
      </c>
      <c r="E26" t="s">
        <v>20</v>
      </c>
      <c r="F26" t="s">
        <v>21</v>
      </c>
      <c r="G26" t="s">
        <v>22</v>
      </c>
      <c r="H26" t="s">
        <v>23</v>
      </c>
      <c r="I26" t="s">
        <v>24</v>
      </c>
      <c r="J26" t="s">
        <v>71</v>
      </c>
      <c r="K26" t="s">
        <v>72</v>
      </c>
      <c r="L26">
        <v>0</v>
      </c>
      <c r="M26">
        <v>1</v>
      </c>
      <c r="N26">
        <v>37065.68</v>
      </c>
      <c r="O26">
        <v>12</v>
      </c>
      <c r="P26" s="1">
        <f t="shared" si="0"/>
        <v>8.3333333333333329E-2</v>
      </c>
      <c r="Q26" s="1">
        <f t="shared" si="1"/>
        <v>8.3333333333333329E-2</v>
      </c>
      <c r="R26" s="1"/>
    </row>
    <row r="27" spans="1:18" x14ac:dyDescent="0.25">
      <c r="A27">
        <v>25</v>
      </c>
      <c r="B27" t="s">
        <v>17</v>
      </c>
      <c r="C27" t="s">
        <v>18</v>
      </c>
      <c r="D27" t="s">
        <v>19</v>
      </c>
      <c r="E27" t="s">
        <v>20</v>
      </c>
      <c r="F27" t="s">
        <v>21</v>
      </c>
      <c r="G27" t="s">
        <v>22</v>
      </c>
      <c r="H27" t="s">
        <v>23</v>
      </c>
      <c r="I27" t="s">
        <v>24</v>
      </c>
      <c r="J27" t="s">
        <v>73</v>
      </c>
      <c r="K27" t="s">
        <v>74</v>
      </c>
      <c r="L27">
        <v>0</v>
      </c>
      <c r="M27">
        <v>0</v>
      </c>
      <c r="N27">
        <v>0</v>
      </c>
      <c r="O27">
        <v>12</v>
      </c>
      <c r="P27" s="1">
        <f t="shared" si="0"/>
        <v>0</v>
      </c>
      <c r="Q27" s="1">
        <f t="shared" si="1"/>
        <v>0</v>
      </c>
      <c r="R27" s="1"/>
    </row>
    <row r="28" spans="1:18" x14ac:dyDescent="0.25">
      <c r="A28">
        <v>26</v>
      </c>
      <c r="B28" t="s">
        <v>17</v>
      </c>
      <c r="C28" t="s">
        <v>18</v>
      </c>
      <c r="D28" t="s">
        <v>19</v>
      </c>
      <c r="E28" t="s">
        <v>20</v>
      </c>
      <c r="F28" t="s">
        <v>21</v>
      </c>
      <c r="G28" t="s">
        <v>22</v>
      </c>
      <c r="H28" t="s">
        <v>23</v>
      </c>
      <c r="I28" t="s">
        <v>24</v>
      </c>
      <c r="J28" t="s">
        <v>75</v>
      </c>
      <c r="K28" t="s">
        <v>76</v>
      </c>
      <c r="L28">
        <v>0</v>
      </c>
      <c r="M28">
        <v>3</v>
      </c>
      <c r="N28">
        <v>28954.2</v>
      </c>
      <c r="O28">
        <v>12</v>
      </c>
      <c r="P28" s="1">
        <f t="shared" si="0"/>
        <v>0.25</v>
      </c>
      <c r="Q28" s="1">
        <f t="shared" si="1"/>
        <v>0.25</v>
      </c>
      <c r="R28" s="1"/>
    </row>
    <row r="29" spans="1:18" x14ac:dyDescent="0.25">
      <c r="A29">
        <v>27</v>
      </c>
      <c r="B29" t="s">
        <v>17</v>
      </c>
      <c r="C29" t="s">
        <v>18</v>
      </c>
      <c r="D29" t="s">
        <v>19</v>
      </c>
      <c r="E29" t="s">
        <v>20</v>
      </c>
      <c r="F29" t="s">
        <v>21</v>
      </c>
      <c r="G29" t="s">
        <v>22</v>
      </c>
      <c r="H29" t="s">
        <v>23</v>
      </c>
      <c r="I29" t="s">
        <v>24</v>
      </c>
      <c r="J29" t="s">
        <v>77</v>
      </c>
      <c r="K29" t="s">
        <v>78</v>
      </c>
      <c r="L29">
        <v>3</v>
      </c>
      <c r="M29">
        <v>0</v>
      </c>
      <c r="N29">
        <v>1086712.2</v>
      </c>
      <c r="O29">
        <v>6</v>
      </c>
      <c r="P29" s="1">
        <f t="shared" si="0"/>
        <v>0</v>
      </c>
      <c r="Q29" s="1">
        <f t="shared" si="1"/>
        <v>3</v>
      </c>
      <c r="R29" s="1"/>
    </row>
    <row r="30" spans="1:18" x14ac:dyDescent="0.25">
      <c r="A30">
        <v>28</v>
      </c>
      <c r="B30" t="s">
        <v>17</v>
      </c>
      <c r="C30" t="s">
        <v>18</v>
      </c>
      <c r="D30" t="s">
        <v>19</v>
      </c>
      <c r="E30" t="s">
        <v>20</v>
      </c>
      <c r="F30" t="s">
        <v>21</v>
      </c>
      <c r="G30" t="s">
        <v>22</v>
      </c>
      <c r="H30" t="s">
        <v>23</v>
      </c>
      <c r="I30" t="s">
        <v>24</v>
      </c>
      <c r="J30" t="s">
        <v>79</v>
      </c>
      <c r="K30" t="s">
        <v>80</v>
      </c>
      <c r="L30">
        <v>3</v>
      </c>
      <c r="M30">
        <v>6</v>
      </c>
      <c r="N30">
        <v>1806874.65</v>
      </c>
      <c r="O30">
        <v>12</v>
      </c>
      <c r="P30" s="1">
        <f t="shared" si="0"/>
        <v>0.5</v>
      </c>
      <c r="Q30" s="1">
        <f t="shared" si="1"/>
        <v>3.5</v>
      </c>
      <c r="R30" s="1"/>
    </row>
    <row r="31" spans="1:18" x14ac:dyDescent="0.25">
      <c r="A31">
        <v>29</v>
      </c>
      <c r="B31" t="s">
        <v>17</v>
      </c>
      <c r="C31" t="s">
        <v>18</v>
      </c>
      <c r="D31" t="s">
        <v>19</v>
      </c>
      <c r="E31" t="s">
        <v>20</v>
      </c>
      <c r="F31" t="s">
        <v>21</v>
      </c>
      <c r="G31" t="s">
        <v>22</v>
      </c>
      <c r="H31" t="s">
        <v>23</v>
      </c>
      <c r="I31" t="s">
        <v>24</v>
      </c>
      <c r="J31" t="s">
        <v>81</v>
      </c>
      <c r="K31" t="s">
        <v>82</v>
      </c>
      <c r="L31">
        <v>3</v>
      </c>
      <c r="M31">
        <v>2</v>
      </c>
      <c r="N31">
        <v>1634791.35</v>
      </c>
      <c r="O31">
        <v>12</v>
      </c>
      <c r="P31" s="1">
        <f t="shared" si="0"/>
        <v>0.16666666666666666</v>
      </c>
      <c r="Q31" s="1">
        <f t="shared" si="1"/>
        <v>3.1666666666666665</v>
      </c>
      <c r="R31" s="1"/>
    </row>
    <row r="32" spans="1:18" x14ac:dyDescent="0.25">
      <c r="A32">
        <v>30</v>
      </c>
      <c r="B32" t="s">
        <v>17</v>
      </c>
      <c r="C32" t="s">
        <v>18</v>
      </c>
      <c r="D32" t="s">
        <v>19</v>
      </c>
      <c r="E32" t="s">
        <v>20</v>
      </c>
      <c r="F32" t="s">
        <v>21</v>
      </c>
      <c r="G32" t="s">
        <v>22</v>
      </c>
      <c r="H32" t="s">
        <v>23</v>
      </c>
      <c r="I32" t="s">
        <v>24</v>
      </c>
      <c r="J32" t="s">
        <v>83</v>
      </c>
      <c r="K32" t="s">
        <v>84</v>
      </c>
      <c r="L32">
        <v>40</v>
      </c>
      <c r="M32">
        <v>2</v>
      </c>
      <c r="N32">
        <v>11989948.050000001</v>
      </c>
      <c r="O32">
        <v>4</v>
      </c>
      <c r="P32" s="1">
        <f t="shared" si="0"/>
        <v>0.5</v>
      </c>
      <c r="Q32" s="1">
        <f t="shared" si="1"/>
        <v>40.5</v>
      </c>
      <c r="R32" s="1"/>
    </row>
    <row r="33" spans="1:18" x14ac:dyDescent="0.25">
      <c r="A33">
        <v>31</v>
      </c>
      <c r="B33" t="s">
        <v>17</v>
      </c>
      <c r="C33" t="s">
        <v>18</v>
      </c>
      <c r="D33" t="s">
        <v>19</v>
      </c>
      <c r="E33" t="s">
        <v>20</v>
      </c>
      <c r="F33" t="s">
        <v>21</v>
      </c>
      <c r="G33" t="s">
        <v>22</v>
      </c>
      <c r="H33" t="s">
        <v>23</v>
      </c>
      <c r="I33" t="s">
        <v>24</v>
      </c>
      <c r="J33" t="s">
        <v>85</v>
      </c>
      <c r="K33" t="s">
        <v>86</v>
      </c>
      <c r="L33">
        <v>5</v>
      </c>
      <c r="M33">
        <v>9</v>
      </c>
      <c r="N33">
        <v>1258282.1299999999</v>
      </c>
      <c r="O33">
        <v>24</v>
      </c>
      <c r="P33" s="1">
        <f t="shared" si="0"/>
        <v>0.375</v>
      </c>
      <c r="Q33" s="1">
        <f t="shared" si="1"/>
        <v>5.375</v>
      </c>
      <c r="R33" s="1"/>
    </row>
    <row r="34" spans="1:18" x14ac:dyDescent="0.25">
      <c r="A34">
        <v>32</v>
      </c>
      <c r="B34" t="s">
        <v>17</v>
      </c>
      <c r="C34" t="s">
        <v>18</v>
      </c>
      <c r="D34" t="s">
        <v>19</v>
      </c>
      <c r="E34" t="s">
        <v>20</v>
      </c>
      <c r="F34" t="s">
        <v>21</v>
      </c>
      <c r="G34" t="s">
        <v>22</v>
      </c>
      <c r="H34" t="s">
        <v>23</v>
      </c>
      <c r="I34" t="s">
        <v>24</v>
      </c>
      <c r="J34" t="s">
        <v>87</v>
      </c>
      <c r="K34" t="s">
        <v>88</v>
      </c>
      <c r="L34">
        <v>1</v>
      </c>
      <c r="M34">
        <v>18</v>
      </c>
      <c r="N34">
        <v>1138460.3999999999</v>
      </c>
      <c r="O34">
        <v>24</v>
      </c>
      <c r="P34" s="1">
        <f t="shared" si="0"/>
        <v>0.75</v>
      </c>
      <c r="Q34" s="1">
        <f t="shared" si="1"/>
        <v>1.75</v>
      </c>
      <c r="R34" s="1"/>
    </row>
    <row r="35" spans="1:18" x14ac:dyDescent="0.25">
      <c r="A35">
        <v>33</v>
      </c>
      <c r="B35" t="s">
        <v>17</v>
      </c>
      <c r="C35" t="s">
        <v>18</v>
      </c>
      <c r="D35" t="s">
        <v>19</v>
      </c>
      <c r="E35" t="s">
        <v>20</v>
      </c>
      <c r="F35" t="s">
        <v>21</v>
      </c>
      <c r="G35" t="s">
        <v>22</v>
      </c>
      <c r="H35" t="s">
        <v>23</v>
      </c>
      <c r="I35" t="s">
        <v>24</v>
      </c>
      <c r="J35" t="s">
        <v>89</v>
      </c>
      <c r="K35" t="s">
        <v>90</v>
      </c>
      <c r="L35">
        <v>4</v>
      </c>
      <c r="M35">
        <v>5</v>
      </c>
      <c r="N35">
        <v>848916.9</v>
      </c>
      <c r="O35">
        <v>12</v>
      </c>
      <c r="P35" s="1">
        <f t="shared" si="0"/>
        <v>0.41666666666666669</v>
      </c>
      <c r="Q35" s="1">
        <f t="shared" si="1"/>
        <v>4.416666666666667</v>
      </c>
      <c r="R35" s="1"/>
    </row>
    <row r="36" spans="1:18" x14ac:dyDescent="0.25">
      <c r="A36">
        <v>34</v>
      </c>
      <c r="B36" t="s">
        <v>17</v>
      </c>
      <c r="C36" t="s">
        <v>18</v>
      </c>
      <c r="D36" t="s">
        <v>19</v>
      </c>
      <c r="E36" t="s">
        <v>20</v>
      </c>
      <c r="F36" t="s">
        <v>21</v>
      </c>
      <c r="G36" t="s">
        <v>22</v>
      </c>
      <c r="H36" t="s">
        <v>23</v>
      </c>
      <c r="I36" t="s">
        <v>24</v>
      </c>
      <c r="J36" t="s">
        <v>91</v>
      </c>
      <c r="K36" t="s">
        <v>92</v>
      </c>
      <c r="L36">
        <v>0</v>
      </c>
      <c r="M36">
        <v>3</v>
      </c>
      <c r="N36">
        <v>46819.8</v>
      </c>
      <c r="O36">
        <v>12</v>
      </c>
      <c r="P36" s="1">
        <f t="shared" si="0"/>
        <v>0.25</v>
      </c>
      <c r="Q36" s="1">
        <f t="shared" si="1"/>
        <v>0.25</v>
      </c>
      <c r="R36" s="1"/>
    </row>
    <row r="37" spans="1:18" x14ac:dyDescent="0.25">
      <c r="A37">
        <v>35</v>
      </c>
      <c r="B37" t="s">
        <v>17</v>
      </c>
      <c r="C37" t="s">
        <v>18</v>
      </c>
      <c r="D37" t="s">
        <v>19</v>
      </c>
      <c r="E37" t="s">
        <v>20</v>
      </c>
      <c r="F37" t="s">
        <v>21</v>
      </c>
      <c r="G37" t="s">
        <v>22</v>
      </c>
      <c r="H37" t="s">
        <v>23</v>
      </c>
      <c r="I37" t="s">
        <v>24</v>
      </c>
      <c r="J37" t="s">
        <v>93</v>
      </c>
      <c r="K37" t="s">
        <v>94</v>
      </c>
      <c r="L37">
        <v>0</v>
      </c>
      <c r="M37">
        <v>9</v>
      </c>
      <c r="N37">
        <v>219929.85</v>
      </c>
      <c r="O37">
        <v>12</v>
      </c>
      <c r="P37" s="1">
        <f t="shared" si="0"/>
        <v>0.75</v>
      </c>
      <c r="Q37" s="1">
        <f t="shared" si="1"/>
        <v>0.75</v>
      </c>
      <c r="R37" s="1"/>
    </row>
    <row r="38" spans="1:18" x14ac:dyDescent="0.25">
      <c r="A38">
        <v>36</v>
      </c>
      <c r="B38" t="s">
        <v>17</v>
      </c>
      <c r="C38" t="s">
        <v>18</v>
      </c>
      <c r="D38" t="s">
        <v>19</v>
      </c>
      <c r="E38" t="s">
        <v>20</v>
      </c>
      <c r="F38" t="s">
        <v>21</v>
      </c>
      <c r="G38" t="s">
        <v>22</v>
      </c>
      <c r="H38" t="s">
        <v>23</v>
      </c>
      <c r="I38" t="s">
        <v>24</v>
      </c>
      <c r="J38" t="s">
        <v>95</v>
      </c>
      <c r="K38" t="s">
        <v>96</v>
      </c>
      <c r="L38">
        <v>5</v>
      </c>
      <c r="M38">
        <v>5</v>
      </c>
      <c r="N38">
        <v>941016.38</v>
      </c>
      <c r="O38">
        <v>12</v>
      </c>
      <c r="P38" s="1">
        <f t="shared" si="0"/>
        <v>0.41666666666666669</v>
      </c>
      <c r="Q38" s="1">
        <f t="shared" si="1"/>
        <v>5.416666666666667</v>
      </c>
      <c r="R38" s="1"/>
    </row>
    <row r="39" spans="1:18" x14ac:dyDescent="0.25">
      <c r="A39">
        <v>37</v>
      </c>
      <c r="B39" t="s">
        <v>17</v>
      </c>
      <c r="C39" t="s">
        <v>18</v>
      </c>
      <c r="D39" t="s">
        <v>19</v>
      </c>
      <c r="E39" t="s">
        <v>20</v>
      </c>
      <c r="F39" t="s">
        <v>21</v>
      </c>
      <c r="G39" t="s">
        <v>22</v>
      </c>
      <c r="H39" t="s">
        <v>23</v>
      </c>
      <c r="I39" t="s">
        <v>24</v>
      </c>
      <c r="J39" t="s">
        <v>97</v>
      </c>
      <c r="K39" t="s">
        <v>98</v>
      </c>
      <c r="L39">
        <v>1</v>
      </c>
      <c r="M39">
        <v>15</v>
      </c>
      <c r="N39">
        <v>196211.93</v>
      </c>
      <c r="O39">
        <v>24</v>
      </c>
      <c r="P39" s="1">
        <f t="shared" si="0"/>
        <v>0.625</v>
      </c>
      <c r="Q39" s="1">
        <f t="shared" si="1"/>
        <v>1.625</v>
      </c>
      <c r="R39" s="1"/>
    </row>
    <row r="40" spans="1:18" x14ac:dyDescent="0.25">
      <c r="A40">
        <v>38</v>
      </c>
      <c r="B40" t="s">
        <v>17</v>
      </c>
      <c r="C40" t="s">
        <v>18</v>
      </c>
      <c r="D40" t="s">
        <v>19</v>
      </c>
      <c r="E40" t="s">
        <v>20</v>
      </c>
      <c r="F40" t="s">
        <v>21</v>
      </c>
      <c r="G40" t="s">
        <v>22</v>
      </c>
      <c r="H40" t="s">
        <v>23</v>
      </c>
      <c r="I40" t="s">
        <v>24</v>
      </c>
      <c r="J40" t="s">
        <v>99</v>
      </c>
      <c r="K40" t="s">
        <v>100</v>
      </c>
      <c r="L40">
        <v>4</v>
      </c>
      <c r="M40">
        <v>0</v>
      </c>
      <c r="N40">
        <v>404128.8</v>
      </c>
      <c r="O40">
        <v>12</v>
      </c>
      <c r="P40" s="1">
        <f t="shared" si="0"/>
        <v>0</v>
      </c>
      <c r="Q40" s="1">
        <f t="shared" si="1"/>
        <v>4</v>
      </c>
      <c r="R40" s="1"/>
    </row>
    <row r="41" spans="1:18" x14ac:dyDescent="0.25">
      <c r="A41">
        <v>39</v>
      </c>
      <c r="B41" t="s">
        <v>17</v>
      </c>
      <c r="C41" t="s">
        <v>18</v>
      </c>
      <c r="D41" t="s">
        <v>19</v>
      </c>
      <c r="E41" t="s">
        <v>20</v>
      </c>
      <c r="F41" t="s">
        <v>21</v>
      </c>
      <c r="G41" t="s">
        <v>22</v>
      </c>
      <c r="H41" t="s">
        <v>23</v>
      </c>
      <c r="I41" t="s">
        <v>24</v>
      </c>
      <c r="J41" t="s">
        <v>101</v>
      </c>
      <c r="K41" t="s">
        <v>102</v>
      </c>
      <c r="L41">
        <v>2</v>
      </c>
      <c r="M41">
        <v>1</v>
      </c>
      <c r="N41">
        <v>318292.5</v>
      </c>
      <c r="O41">
        <v>12</v>
      </c>
      <c r="P41" s="1">
        <f t="shared" si="0"/>
        <v>8.3333333333333329E-2</v>
      </c>
      <c r="Q41" s="1">
        <f t="shared" si="1"/>
        <v>2.0833333333333335</v>
      </c>
      <c r="R41" s="1"/>
    </row>
    <row r="42" spans="1:18" x14ac:dyDescent="0.25">
      <c r="A42">
        <v>40</v>
      </c>
      <c r="B42" t="s">
        <v>17</v>
      </c>
      <c r="C42" t="s">
        <v>18</v>
      </c>
      <c r="D42" t="s">
        <v>19</v>
      </c>
      <c r="E42" t="s">
        <v>20</v>
      </c>
      <c r="F42" t="s">
        <v>21</v>
      </c>
      <c r="G42" t="s">
        <v>22</v>
      </c>
      <c r="H42" t="s">
        <v>23</v>
      </c>
      <c r="I42" t="s">
        <v>24</v>
      </c>
      <c r="J42" t="s">
        <v>103</v>
      </c>
      <c r="K42" t="s">
        <v>104</v>
      </c>
      <c r="L42">
        <v>7</v>
      </c>
      <c r="M42">
        <v>0</v>
      </c>
      <c r="N42">
        <v>3162747.42</v>
      </c>
      <c r="O42">
        <v>4</v>
      </c>
      <c r="P42" s="1">
        <f t="shared" si="0"/>
        <v>0</v>
      </c>
      <c r="Q42" s="1">
        <f t="shared" si="1"/>
        <v>7</v>
      </c>
      <c r="R42" s="1"/>
    </row>
    <row r="43" spans="1:18" x14ac:dyDescent="0.25">
      <c r="A43">
        <v>41</v>
      </c>
      <c r="B43" t="s">
        <v>17</v>
      </c>
      <c r="C43" t="s">
        <v>18</v>
      </c>
      <c r="D43" t="s">
        <v>19</v>
      </c>
      <c r="E43" t="s">
        <v>20</v>
      </c>
      <c r="F43" t="s">
        <v>21</v>
      </c>
      <c r="G43" t="s">
        <v>22</v>
      </c>
      <c r="H43" t="s">
        <v>23</v>
      </c>
      <c r="I43" t="s">
        <v>24</v>
      </c>
      <c r="J43" t="s">
        <v>105</v>
      </c>
      <c r="K43" t="s">
        <v>106</v>
      </c>
      <c r="L43">
        <v>1</v>
      </c>
      <c r="M43">
        <v>2</v>
      </c>
      <c r="N43">
        <v>196703.1</v>
      </c>
      <c r="O43">
        <v>4</v>
      </c>
      <c r="P43" s="1">
        <f t="shared" si="0"/>
        <v>0.5</v>
      </c>
      <c r="Q43" s="1">
        <f t="shared" si="1"/>
        <v>1.5</v>
      </c>
      <c r="R43" s="1"/>
    </row>
    <row r="44" spans="1:18" x14ac:dyDescent="0.25">
      <c r="A44">
        <v>42</v>
      </c>
      <c r="B44" t="s">
        <v>17</v>
      </c>
      <c r="C44" t="s">
        <v>18</v>
      </c>
      <c r="D44" t="s">
        <v>19</v>
      </c>
      <c r="E44" t="s">
        <v>20</v>
      </c>
      <c r="F44" t="s">
        <v>21</v>
      </c>
      <c r="G44" t="s">
        <v>22</v>
      </c>
      <c r="H44" t="s">
        <v>23</v>
      </c>
      <c r="I44" t="s">
        <v>24</v>
      </c>
      <c r="J44" t="s">
        <v>107</v>
      </c>
      <c r="K44" t="s">
        <v>108</v>
      </c>
      <c r="L44">
        <v>0</v>
      </c>
      <c r="M44">
        <v>21</v>
      </c>
      <c r="N44">
        <v>217773.57</v>
      </c>
      <c r="O44">
        <v>24</v>
      </c>
      <c r="P44" s="1">
        <f t="shared" si="0"/>
        <v>0.875</v>
      </c>
      <c r="Q44" s="1">
        <f t="shared" si="1"/>
        <v>0.875</v>
      </c>
      <c r="R44" s="1"/>
    </row>
    <row r="45" spans="1:18" x14ac:dyDescent="0.25">
      <c r="A45">
        <v>43</v>
      </c>
      <c r="B45" t="s">
        <v>17</v>
      </c>
      <c r="C45" t="s">
        <v>18</v>
      </c>
      <c r="D45" t="s">
        <v>19</v>
      </c>
      <c r="E45" t="s">
        <v>20</v>
      </c>
      <c r="F45" t="s">
        <v>21</v>
      </c>
      <c r="G45" t="s">
        <v>22</v>
      </c>
      <c r="H45" t="s">
        <v>23</v>
      </c>
      <c r="I45" t="s">
        <v>24</v>
      </c>
      <c r="J45" t="s">
        <v>109</v>
      </c>
      <c r="K45" t="s">
        <v>110</v>
      </c>
      <c r="L45">
        <v>7</v>
      </c>
      <c r="M45">
        <v>23</v>
      </c>
      <c r="N45">
        <v>1980702.47</v>
      </c>
      <c r="O45">
        <v>24</v>
      </c>
      <c r="P45" s="1">
        <f t="shared" si="0"/>
        <v>0.95833333333333337</v>
      </c>
      <c r="Q45" s="1">
        <f t="shared" si="1"/>
        <v>7.958333333333333</v>
      </c>
      <c r="R45" s="1"/>
    </row>
    <row r="46" spans="1:18" x14ac:dyDescent="0.25">
      <c r="A46">
        <v>44</v>
      </c>
      <c r="B46" t="s">
        <v>17</v>
      </c>
      <c r="C46" t="s">
        <v>18</v>
      </c>
      <c r="D46" t="s">
        <v>19</v>
      </c>
      <c r="E46" t="s">
        <v>20</v>
      </c>
      <c r="F46" t="s">
        <v>21</v>
      </c>
      <c r="G46" t="s">
        <v>22</v>
      </c>
      <c r="H46" t="s">
        <v>23</v>
      </c>
      <c r="I46" t="s">
        <v>24</v>
      </c>
      <c r="J46" t="s">
        <v>111</v>
      </c>
      <c r="K46" t="s">
        <v>112</v>
      </c>
      <c r="L46">
        <v>0</v>
      </c>
      <c r="M46">
        <v>1</v>
      </c>
      <c r="N46">
        <v>10370.17</v>
      </c>
      <c r="O46">
        <v>24</v>
      </c>
      <c r="P46" s="1">
        <f t="shared" si="0"/>
        <v>4.1666666666666664E-2</v>
      </c>
      <c r="Q46" s="1">
        <f t="shared" si="1"/>
        <v>4.1666666666666664E-2</v>
      </c>
      <c r="R46" s="1"/>
    </row>
    <row r="47" spans="1:18" x14ac:dyDescent="0.25">
      <c r="A47">
        <v>45</v>
      </c>
      <c r="B47" t="s">
        <v>17</v>
      </c>
      <c r="C47" t="s">
        <v>18</v>
      </c>
      <c r="D47" t="s">
        <v>19</v>
      </c>
      <c r="E47" t="s">
        <v>20</v>
      </c>
      <c r="F47" t="s">
        <v>21</v>
      </c>
      <c r="G47" t="s">
        <v>22</v>
      </c>
      <c r="H47" t="s">
        <v>23</v>
      </c>
      <c r="I47" t="s">
        <v>24</v>
      </c>
      <c r="J47" t="s">
        <v>113</v>
      </c>
      <c r="K47" t="s">
        <v>114</v>
      </c>
      <c r="L47">
        <v>2</v>
      </c>
      <c r="M47">
        <v>40</v>
      </c>
      <c r="N47">
        <v>712154.48</v>
      </c>
      <c r="O47">
        <v>48</v>
      </c>
      <c r="P47" s="1">
        <f t="shared" si="0"/>
        <v>0.83333333333333337</v>
      </c>
      <c r="Q47" s="1">
        <f t="shared" si="1"/>
        <v>2.8333333333333335</v>
      </c>
      <c r="R47" s="1"/>
    </row>
    <row r="48" spans="1:18" x14ac:dyDescent="0.25">
      <c r="A48">
        <v>46</v>
      </c>
      <c r="B48" t="s">
        <v>17</v>
      </c>
      <c r="C48" t="s">
        <v>18</v>
      </c>
      <c r="D48" t="s">
        <v>19</v>
      </c>
      <c r="E48" t="s">
        <v>20</v>
      </c>
      <c r="F48" t="s">
        <v>21</v>
      </c>
      <c r="G48" t="s">
        <v>22</v>
      </c>
      <c r="H48" t="s">
        <v>23</v>
      </c>
      <c r="I48" t="s">
        <v>24</v>
      </c>
      <c r="J48" t="s">
        <v>115</v>
      </c>
      <c r="K48" t="s">
        <v>116</v>
      </c>
      <c r="L48">
        <v>4</v>
      </c>
      <c r="M48">
        <v>7</v>
      </c>
      <c r="N48">
        <v>1095542.25</v>
      </c>
      <c r="O48">
        <v>12</v>
      </c>
      <c r="P48" s="1">
        <f t="shared" si="0"/>
        <v>0.58333333333333337</v>
      </c>
      <c r="Q48" s="1">
        <f t="shared" si="1"/>
        <v>4.583333333333333</v>
      </c>
      <c r="R48" s="1"/>
    </row>
    <row r="49" spans="1:18" x14ac:dyDescent="0.25">
      <c r="A49">
        <v>47</v>
      </c>
      <c r="B49" t="s">
        <v>17</v>
      </c>
      <c r="C49" t="s">
        <v>18</v>
      </c>
      <c r="D49" t="s">
        <v>19</v>
      </c>
      <c r="E49" t="s">
        <v>20</v>
      </c>
      <c r="F49" t="s">
        <v>21</v>
      </c>
      <c r="G49" t="s">
        <v>22</v>
      </c>
      <c r="H49" t="s">
        <v>23</v>
      </c>
      <c r="I49" t="s">
        <v>24</v>
      </c>
      <c r="J49" t="s">
        <v>117</v>
      </c>
      <c r="K49" t="s">
        <v>118</v>
      </c>
      <c r="L49">
        <v>4</v>
      </c>
      <c r="M49">
        <v>0</v>
      </c>
      <c r="N49">
        <v>956109.6</v>
      </c>
      <c r="O49">
        <v>12</v>
      </c>
      <c r="P49" s="1">
        <f t="shared" si="0"/>
        <v>0</v>
      </c>
      <c r="Q49" s="1">
        <f t="shared" si="1"/>
        <v>4</v>
      </c>
      <c r="R49" s="1"/>
    </row>
    <row r="50" spans="1:18" x14ac:dyDescent="0.25">
      <c r="A50">
        <v>48</v>
      </c>
      <c r="B50" t="s">
        <v>17</v>
      </c>
      <c r="C50" t="s">
        <v>18</v>
      </c>
      <c r="D50" t="s">
        <v>19</v>
      </c>
      <c r="E50" t="s">
        <v>20</v>
      </c>
      <c r="F50" t="s">
        <v>21</v>
      </c>
      <c r="G50" t="s">
        <v>22</v>
      </c>
      <c r="H50" t="s">
        <v>23</v>
      </c>
      <c r="I50" t="s">
        <v>24</v>
      </c>
      <c r="J50" t="s">
        <v>119</v>
      </c>
      <c r="K50" t="s">
        <v>120</v>
      </c>
      <c r="L50">
        <v>4</v>
      </c>
      <c r="M50">
        <v>0</v>
      </c>
      <c r="N50">
        <v>956109.6</v>
      </c>
      <c r="O50">
        <v>12</v>
      </c>
      <c r="P50" s="1">
        <f t="shared" si="0"/>
        <v>0</v>
      </c>
      <c r="Q50" s="1">
        <f t="shared" si="1"/>
        <v>4</v>
      </c>
      <c r="R50" s="1"/>
    </row>
    <row r="51" spans="1:18" x14ac:dyDescent="0.25">
      <c r="A51">
        <v>49</v>
      </c>
      <c r="B51" t="s">
        <v>17</v>
      </c>
      <c r="C51" t="s">
        <v>18</v>
      </c>
      <c r="D51" t="s">
        <v>19</v>
      </c>
      <c r="E51" t="s">
        <v>20</v>
      </c>
      <c r="F51" t="s">
        <v>21</v>
      </c>
      <c r="G51" t="s">
        <v>22</v>
      </c>
      <c r="H51" t="s">
        <v>23</v>
      </c>
      <c r="I51" t="s">
        <v>24</v>
      </c>
      <c r="J51" t="s">
        <v>121</v>
      </c>
      <c r="K51" t="s">
        <v>122</v>
      </c>
      <c r="L51">
        <v>4</v>
      </c>
      <c r="M51">
        <v>0</v>
      </c>
      <c r="N51">
        <v>956109.6</v>
      </c>
      <c r="O51">
        <v>12</v>
      </c>
      <c r="P51" s="1">
        <f t="shared" si="0"/>
        <v>0</v>
      </c>
      <c r="Q51" s="1">
        <f t="shared" si="1"/>
        <v>4</v>
      </c>
      <c r="R51" s="1"/>
    </row>
    <row r="52" spans="1:18" x14ac:dyDescent="0.25">
      <c r="A52">
        <v>50</v>
      </c>
      <c r="B52" t="s">
        <v>17</v>
      </c>
      <c r="C52" t="s">
        <v>18</v>
      </c>
      <c r="D52" t="s">
        <v>19</v>
      </c>
      <c r="E52" t="s">
        <v>20</v>
      </c>
      <c r="F52" t="s">
        <v>21</v>
      </c>
      <c r="G52" t="s">
        <v>22</v>
      </c>
      <c r="H52" t="s">
        <v>23</v>
      </c>
      <c r="I52" t="s">
        <v>24</v>
      </c>
      <c r="J52" t="s">
        <v>123</v>
      </c>
      <c r="K52" t="s">
        <v>124</v>
      </c>
      <c r="L52">
        <v>0</v>
      </c>
      <c r="M52">
        <v>6</v>
      </c>
      <c r="N52">
        <v>108424.8</v>
      </c>
      <c r="O52">
        <v>12</v>
      </c>
      <c r="P52" s="1">
        <f t="shared" si="0"/>
        <v>0.5</v>
      </c>
      <c r="Q52" s="1">
        <f t="shared" si="1"/>
        <v>0.5</v>
      </c>
      <c r="R52" s="1"/>
    </row>
    <row r="53" spans="1:18" x14ac:dyDescent="0.25">
      <c r="A53">
        <v>51</v>
      </c>
      <c r="B53" t="s">
        <v>17</v>
      </c>
      <c r="C53" t="s">
        <v>18</v>
      </c>
      <c r="D53" t="s">
        <v>19</v>
      </c>
      <c r="E53" t="s">
        <v>20</v>
      </c>
      <c r="F53" t="s">
        <v>21</v>
      </c>
      <c r="G53" t="s">
        <v>22</v>
      </c>
      <c r="H53" t="s">
        <v>23</v>
      </c>
      <c r="I53" t="s">
        <v>24</v>
      </c>
      <c r="J53" t="s">
        <v>125</v>
      </c>
      <c r="K53" t="s">
        <v>126</v>
      </c>
      <c r="L53">
        <v>1</v>
      </c>
      <c r="M53">
        <v>1</v>
      </c>
      <c r="N53">
        <v>261821.25</v>
      </c>
      <c r="O53">
        <v>24</v>
      </c>
      <c r="P53" s="1">
        <f t="shared" si="0"/>
        <v>4.1666666666666664E-2</v>
      </c>
      <c r="Q53" s="1">
        <f t="shared" si="1"/>
        <v>1.0416666666666667</v>
      </c>
      <c r="R53" s="1"/>
    </row>
    <row r="54" spans="1:18" x14ac:dyDescent="0.25">
      <c r="A54">
        <v>52</v>
      </c>
      <c r="B54" t="s">
        <v>17</v>
      </c>
      <c r="C54" t="s">
        <v>18</v>
      </c>
      <c r="D54" t="s">
        <v>19</v>
      </c>
      <c r="E54" t="s">
        <v>20</v>
      </c>
      <c r="F54" t="s">
        <v>21</v>
      </c>
      <c r="G54" t="s">
        <v>22</v>
      </c>
      <c r="H54" t="s">
        <v>23</v>
      </c>
      <c r="I54" t="s">
        <v>24</v>
      </c>
      <c r="J54" t="s">
        <v>127</v>
      </c>
      <c r="K54" t="s">
        <v>128</v>
      </c>
      <c r="L54">
        <v>4</v>
      </c>
      <c r="M54">
        <v>20</v>
      </c>
      <c r="N54">
        <v>1214850.6000000001</v>
      </c>
      <c r="O54">
        <v>24</v>
      </c>
      <c r="P54" s="1">
        <f t="shared" si="0"/>
        <v>0.83333333333333337</v>
      </c>
      <c r="Q54" s="1">
        <f t="shared" si="1"/>
        <v>4.833333333333333</v>
      </c>
      <c r="R54" s="1"/>
    </row>
    <row r="55" spans="1:18" x14ac:dyDescent="0.25">
      <c r="A55">
        <v>53</v>
      </c>
      <c r="B55" t="s">
        <v>17</v>
      </c>
      <c r="C55" t="s">
        <v>18</v>
      </c>
      <c r="D55" t="s">
        <v>19</v>
      </c>
      <c r="E55" t="s">
        <v>20</v>
      </c>
      <c r="F55" t="s">
        <v>21</v>
      </c>
      <c r="G55" t="s">
        <v>22</v>
      </c>
      <c r="H55" t="s">
        <v>23</v>
      </c>
      <c r="I55" t="s">
        <v>24</v>
      </c>
      <c r="J55" t="s">
        <v>129</v>
      </c>
      <c r="K55" t="s">
        <v>130</v>
      </c>
      <c r="L55">
        <v>0</v>
      </c>
      <c r="M55">
        <v>7</v>
      </c>
      <c r="N55">
        <v>126495.6</v>
      </c>
      <c r="O55">
        <v>12</v>
      </c>
      <c r="P55" s="1">
        <f t="shared" si="0"/>
        <v>0.58333333333333337</v>
      </c>
      <c r="Q55" s="1">
        <f t="shared" si="1"/>
        <v>0.58333333333333337</v>
      </c>
      <c r="R55" s="1"/>
    </row>
    <row r="56" spans="1:18" x14ac:dyDescent="0.25">
      <c r="A56">
        <v>54</v>
      </c>
      <c r="B56" t="s">
        <v>17</v>
      </c>
      <c r="C56" t="s">
        <v>18</v>
      </c>
      <c r="D56" t="s">
        <v>19</v>
      </c>
      <c r="E56" t="s">
        <v>20</v>
      </c>
      <c r="F56" t="s">
        <v>21</v>
      </c>
      <c r="G56" t="s">
        <v>22</v>
      </c>
      <c r="H56" t="s">
        <v>23</v>
      </c>
      <c r="I56" t="s">
        <v>24</v>
      </c>
      <c r="J56" t="s">
        <v>131</v>
      </c>
      <c r="K56" t="s">
        <v>132</v>
      </c>
      <c r="L56">
        <v>5</v>
      </c>
      <c r="M56">
        <v>8</v>
      </c>
      <c r="N56">
        <v>1340524.8</v>
      </c>
      <c r="O56">
        <v>24</v>
      </c>
      <c r="P56" s="1">
        <f t="shared" si="0"/>
        <v>0.33333333333333331</v>
      </c>
      <c r="Q56" s="1">
        <f t="shared" si="1"/>
        <v>5.333333333333333</v>
      </c>
      <c r="R56" s="1"/>
    </row>
    <row r="57" spans="1:18" x14ac:dyDescent="0.25">
      <c r="A57">
        <v>55</v>
      </c>
      <c r="B57" t="s">
        <v>17</v>
      </c>
      <c r="C57" t="s">
        <v>18</v>
      </c>
      <c r="D57" t="s">
        <v>19</v>
      </c>
      <c r="E57" t="s">
        <v>20</v>
      </c>
      <c r="F57" t="s">
        <v>21</v>
      </c>
      <c r="G57" t="s">
        <v>22</v>
      </c>
      <c r="H57" t="s">
        <v>23</v>
      </c>
      <c r="I57" t="s">
        <v>24</v>
      </c>
      <c r="J57" t="s">
        <v>133</v>
      </c>
      <c r="K57" t="s">
        <v>134</v>
      </c>
      <c r="L57">
        <v>0</v>
      </c>
      <c r="M57">
        <v>2</v>
      </c>
      <c r="N57">
        <v>36141.599999999999</v>
      </c>
      <c r="O57">
        <v>12</v>
      </c>
      <c r="P57" s="1">
        <f t="shared" si="0"/>
        <v>0.16666666666666666</v>
      </c>
      <c r="Q57" s="1">
        <f t="shared" si="1"/>
        <v>0.16666666666666666</v>
      </c>
      <c r="R57" s="1"/>
    </row>
    <row r="58" spans="1:18" x14ac:dyDescent="0.25">
      <c r="A58">
        <v>56</v>
      </c>
      <c r="B58" t="s">
        <v>17</v>
      </c>
      <c r="C58" t="s">
        <v>18</v>
      </c>
      <c r="D58" t="s">
        <v>19</v>
      </c>
      <c r="E58" t="s">
        <v>20</v>
      </c>
      <c r="F58" t="s">
        <v>21</v>
      </c>
      <c r="G58" t="s">
        <v>22</v>
      </c>
      <c r="H58" t="s">
        <v>23</v>
      </c>
      <c r="I58" t="s">
        <v>24</v>
      </c>
      <c r="J58" t="s">
        <v>135</v>
      </c>
      <c r="K58" t="s">
        <v>136</v>
      </c>
      <c r="L58">
        <v>5</v>
      </c>
      <c r="M58">
        <v>7</v>
      </c>
      <c r="N58">
        <v>1330051.95</v>
      </c>
      <c r="O58">
        <v>24</v>
      </c>
      <c r="P58" s="1">
        <f t="shared" si="0"/>
        <v>0.29166666666666669</v>
      </c>
      <c r="Q58" s="1">
        <f t="shared" si="1"/>
        <v>5.291666666666667</v>
      </c>
      <c r="R58" s="1"/>
    </row>
    <row r="59" spans="1:18" x14ac:dyDescent="0.25">
      <c r="A59">
        <v>57</v>
      </c>
      <c r="B59" t="s">
        <v>17</v>
      </c>
      <c r="C59" t="s">
        <v>18</v>
      </c>
      <c r="D59" t="s">
        <v>19</v>
      </c>
      <c r="E59" t="s">
        <v>20</v>
      </c>
      <c r="F59" t="s">
        <v>21</v>
      </c>
      <c r="G59" t="s">
        <v>22</v>
      </c>
      <c r="H59" t="s">
        <v>23</v>
      </c>
      <c r="I59" t="s">
        <v>24</v>
      </c>
      <c r="J59" t="s">
        <v>137</v>
      </c>
      <c r="K59" t="s">
        <v>138</v>
      </c>
      <c r="L59">
        <v>11</v>
      </c>
      <c r="M59">
        <v>9</v>
      </c>
      <c r="N59">
        <v>2663800.2000000002</v>
      </c>
      <c r="O59">
        <v>12</v>
      </c>
      <c r="P59" s="1">
        <f t="shared" si="0"/>
        <v>0.75</v>
      </c>
      <c r="Q59" s="1">
        <f t="shared" si="1"/>
        <v>11.75</v>
      </c>
      <c r="R59" s="1"/>
    </row>
    <row r="60" spans="1:18" x14ac:dyDescent="0.25">
      <c r="A60">
        <v>58</v>
      </c>
      <c r="B60" t="s">
        <v>17</v>
      </c>
      <c r="C60" t="s">
        <v>18</v>
      </c>
      <c r="D60" t="s">
        <v>19</v>
      </c>
      <c r="E60" t="s">
        <v>20</v>
      </c>
      <c r="F60" t="s">
        <v>21</v>
      </c>
      <c r="G60" t="s">
        <v>22</v>
      </c>
      <c r="H60" t="s">
        <v>23</v>
      </c>
      <c r="I60" t="s">
        <v>24</v>
      </c>
      <c r="J60" t="s">
        <v>139</v>
      </c>
      <c r="K60" t="s">
        <v>140</v>
      </c>
      <c r="L60">
        <v>1</v>
      </c>
      <c r="M60">
        <v>15</v>
      </c>
      <c r="N60">
        <v>420454.32</v>
      </c>
      <c r="O60">
        <v>24</v>
      </c>
      <c r="P60" s="1">
        <f t="shared" si="0"/>
        <v>0.625</v>
      </c>
      <c r="Q60" s="1">
        <f t="shared" si="1"/>
        <v>1.625</v>
      </c>
      <c r="R60" s="1"/>
    </row>
    <row r="61" spans="1:18" x14ac:dyDescent="0.25">
      <c r="A61">
        <v>59</v>
      </c>
      <c r="B61" t="s">
        <v>17</v>
      </c>
      <c r="C61" t="s">
        <v>18</v>
      </c>
      <c r="D61" t="s">
        <v>19</v>
      </c>
      <c r="E61" t="s">
        <v>20</v>
      </c>
      <c r="F61" t="s">
        <v>21</v>
      </c>
      <c r="G61" t="s">
        <v>22</v>
      </c>
      <c r="H61" t="s">
        <v>23</v>
      </c>
      <c r="I61" t="s">
        <v>24</v>
      </c>
      <c r="J61" t="s">
        <v>141</v>
      </c>
      <c r="K61" t="s">
        <v>142</v>
      </c>
      <c r="L61">
        <v>6</v>
      </c>
      <c r="M61">
        <v>8</v>
      </c>
      <c r="N61">
        <v>1511376</v>
      </c>
      <c r="O61">
        <v>12</v>
      </c>
      <c r="P61" s="1">
        <f t="shared" si="0"/>
        <v>0.66666666666666663</v>
      </c>
      <c r="Q61" s="1">
        <f t="shared" si="1"/>
        <v>6.666666666666667</v>
      </c>
      <c r="R61" s="1"/>
    </row>
    <row r="62" spans="1:18" x14ac:dyDescent="0.25">
      <c r="A62">
        <v>60</v>
      </c>
      <c r="B62" t="s">
        <v>17</v>
      </c>
      <c r="C62" t="s">
        <v>18</v>
      </c>
      <c r="D62" t="s">
        <v>19</v>
      </c>
      <c r="E62" t="s">
        <v>20</v>
      </c>
      <c r="F62" t="s">
        <v>21</v>
      </c>
      <c r="G62" t="s">
        <v>22</v>
      </c>
      <c r="H62" t="s">
        <v>23</v>
      </c>
      <c r="I62" t="s">
        <v>24</v>
      </c>
      <c r="J62" t="s">
        <v>143</v>
      </c>
      <c r="K62" t="s">
        <v>144</v>
      </c>
      <c r="L62">
        <v>0</v>
      </c>
      <c r="M62">
        <v>5</v>
      </c>
      <c r="N62">
        <v>53904.4</v>
      </c>
      <c r="O62">
        <v>24</v>
      </c>
      <c r="P62" s="1">
        <f t="shared" si="0"/>
        <v>0.20833333333333334</v>
      </c>
      <c r="Q62" s="1">
        <f t="shared" si="1"/>
        <v>0.20833333333333334</v>
      </c>
      <c r="R62" s="1"/>
    </row>
    <row r="63" spans="1:18" x14ac:dyDescent="0.25">
      <c r="A63">
        <v>61</v>
      </c>
      <c r="B63" t="s">
        <v>17</v>
      </c>
      <c r="C63" t="s">
        <v>18</v>
      </c>
      <c r="D63" t="s">
        <v>19</v>
      </c>
      <c r="E63" t="s">
        <v>20</v>
      </c>
      <c r="F63" t="s">
        <v>21</v>
      </c>
      <c r="G63" t="s">
        <v>22</v>
      </c>
      <c r="H63" t="s">
        <v>23</v>
      </c>
      <c r="I63" t="s">
        <v>24</v>
      </c>
      <c r="J63" t="s">
        <v>145</v>
      </c>
      <c r="K63" t="s">
        <v>146</v>
      </c>
      <c r="L63">
        <v>8</v>
      </c>
      <c r="M63">
        <v>6</v>
      </c>
      <c r="N63">
        <v>1927004.4</v>
      </c>
      <c r="O63">
        <v>12</v>
      </c>
      <c r="P63" s="1">
        <f t="shared" si="0"/>
        <v>0.5</v>
      </c>
      <c r="Q63" s="1">
        <f t="shared" si="1"/>
        <v>8.5</v>
      </c>
      <c r="R63" s="1"/>
    </row>
    <row r="64" spans="1:18" x14ac:dyDescent="0.25">
      <c r="A64">
        <v>62</v>
      </c>
      <c r="B64" t="s">
        <v>17</v>
      </c>
      <c r="C64" t="s">
        <v>18</v>
      </c>
      <c r="D64" t="s">
        <v>19</v>
      </c>
      <c r="E64" t="s">
        <v>20</v>
      </c>
      <c r="F64" t="s">
        <v>21</v>
      </c>
      <c r="G64" t="s">
        <v>22</v>
      </c>
      <c r="H64" t="s">
        <v>23</v>
      </c>
      <c r="I64" t="s">
        <v>24</v>
      </c>
      <c r="J64" t="s">
        <v>147</v>
      </c>
      <c r="K64" t="s">
        <v>148</v>
      </c>
      <c r="L64">
        <v>0</v>
      </c>
      <c r="M64">
        <v>12</v>
      </c>
      <c r="N64">
        <v>129370.56</v>
      </c>
      <c r="O64">
        <v>24</v>
      </c>
      <c r="P64" s="1">
        <f t="shared" si="0"/>
        <v>0.5</v>
      </c>
      <c r="Q64" s="1">
        <f t="shared" si="1"/>
        <v>0.5</v>
      </c>
      <c r="R64" s="1"/>
    </row>
    <row r="65" spans="1:18" x14ac:dyDescent="0.25">
      <c r="A65">
        <v>63</v>
      </c>
      <c r="B65" t="s">
        <v>17</v>
      </c>
      <c r="C65" t="s">
        <v>18</v>
      </c>
      <c r="D65" t="s">
        <v>19</v>
      </c>
      <c r="E65" t="s">
        <v>20</v>
      </c>
      <c r="F65" t="s">
        <v>21</v>
      </c>
      <c r="G65" t="s">
        <v>22</v>
      </c>
      <c r="H65" t="s">
        <v>23</v>
      </c>
      <c r="I65" t="s">
        <v>24</v>
      </c>
      <c r="J65" t="s">
        <v>149</v>
      </c>
      <c r="K65" t="s">
        <v>150</v>
      </c>
      <c r="L65">
        <v>4</v>
      </c>
      <c r="M65">
        <v>13</v>
      </c>
      <c r="N65">
        <v>884134.43</v>
      </c>
      <c r="O65">
        <v>24</v>
      </c>
      <c r="P65" s="1">
        <f t="shared" si="0"/>
        <v>0.54166666666666663</v>
      </c>
      <c r="Q65" s="1">
        <f t="shared" si="1"/>
        <v>4.541666666666667</v>
      </c>
      <c r="R65" s="1"/>
    </row>
    <row r="66" spans="1:18" x14ac:dyDescent="0.25">
      <c r="A66">
        <v>64</v>
      </c>
      <c r="B66" t="s">
        <v>17</v>
      </c>
      <c r="C66" t="s">
        <v>18</v>
      </c>
      <c r="D66" t="s">
        <v>19</v>
      </c>
      <c r="E66" t="s">
        <v>20</v>
      </c>
      <c r="F66" t="s">
        <v>21</v>
      </c>
      <c r="G66" t="s">
        <v>22</v>
      </c>
      <c r="H66" t="s">
        <v>23</v>
      </c>
      <c r="I66" t="s">
        <v>24</v>
      </c>
      <c r="J66" t="s">
        <v>151</v>
      </c>
      <c r="K66" t="s">
        <v>152</v>
      </c>
      <c r="L66">
        <v>1</v>
      </c>
      <c r="M66">
        <v>0</v>
      </c>
      <c r="N66">
        <v>221778</v>
      </c>
      <c r="O66">
        <v>432</v>
      </c>
      <c r="P66" s="1">
        <f t="shared" si="0"/>
        <v>0</v>
      </c>
      <c r="Q66" s="1">
        <f t="shared" si="1"/>
        <v>1</v>
      </c>
      <c r="R66" s="1"/>
    </row>
    <row r="67" spans="1:18" x14ac:dyDescent="0.25">
      <c r="A67">
        <v>65</v>
      </c>
      <c r="B67" t="s">
        <v>17</v>
      </c>
      <c r="C67" t="s">
        <v>18</v>
      </c>
      <c r="D67" t="s">
        <v>19</v>
      </c>
      <c r="E67" t="s">
        <v>20</v>
      </c>
      <c r="F67" t="s">
        <v>21</v>
      </c>
      <c r="G67" t="s">
        <v>22</v>
      </c>
      <c r="H67" t="s">
        <v>23</v>
      </c>
      <c r="I67" t="s">
        <v>24</v>
      </c>
      <c r="J67" t="s">
        <v>153</v>
      </c>
      <c r="K67" t="s">
        <v>154</v>
      </c>
      <c r="L67">
        <v>0</v>
      </c>
      <c r="M67">
        <v>6</v>
      </c>
      <c r="N67">
        <v>48667.95</v>
      </c>
      <c r="O67">
        <v>24</v>
      </c>
      <c r="P67" s="1">
        <f t="shared" si="0"/>
        <v>0.25</v>
      </c>
      <c r="Q67" s="1">
        <f t="shared" si="1"/>
        <v>0.25</v>
      </c>
      <c r="R67" s="1"/>
    </row>
    <row r="68" spans="1:18" x14ac:dyDescent="0.25">
      <c r="A68">
        <v>66</v>
      </c>
      <c r="B68" t="s">
        <v>17</v>
      </c>
      <c r="C68" t="s">
        <v>18</v>
      </c>
      <c r="D68" t="s">
        <v>19</v>
      </c>
      <c r="E68" t="s">
        <v>20</v>
      </c>
      <c r="F68" t="s">
        <v>21</v>
      </c>
      <c r="G68" t="s">
        <v>22</v>
      </c>
      <c r="H68" t="s">
        <v>23</v>
      </c>
      <c r="I68" t="s">
        <v>24</v>
      </c>
      <c r="J68" t="s">
        <v>155</v>
      </c>
      <c r="K68" t="s">
        <v>156</v>
      </c>
      <c r="L68">
        <v>2</v>
      </c>
      <c r="M68">
        <v>96</v>
      </c>
      <c r="N68">
        <v>492840</v>
      </c>
      <c r="O68">
        <v>432</v>
      </c>
      <c r="P68" s="1">
        <f t="shared" ref="P68:P131" si="2">M68/O68</f>
        <v>0.22222222222222221</v>
      </c>
      <c r="Q68" s="1">
        <f t="shared" ref="Q68:Q131" si="3">L68+P68</f>
        <v>2.2222222222222223</v>
      </c>
      <c r="R68" s="1"/>
    </row>
    <row r="69" spans="1:18" x14ac:dyDescent="0.25">
      <c r="A69">
        <v>67</v>
      </c>
      <c r="B69" t="s">
        <v>17</v>
      </c>
      <c r="C69" t="s">
        <v>18</v>
      </c>
      <c r="D69" t="s">
        <v>19</v>
      </c>
      <c r="E69" t="s">
        <v>20</v>
      </c>
      <c r="F69" t="s">
        <v>21</v>
      </c>
      <c r="G69" t="s">
        <v>22</v>
      </c>
      <c r="H69" t="s">
        <v>23</v>
      </c>
      <c r="I69" t="s">
        <v>24</v>
      </c>
      <c r="J69" t="s">
        <v>157</v>
      </c>
      <c r="K69" t="s">
        <v>158</v>
      </c>
      <c r="L69">
        <v>0</v>
      </c>
      <c r="M69">
        <v>2</v>
      </c>
      <c r="N69">
        <v>16222.65</v>
      </c>
      <c r="O69">
        <v>24</v>
      </c>
      <c r="P69" s="1">
        <f t="shared" si="2"/>
        <v>8.3333333333333329E-2</v>
      </c>
      <c r="Q69" s="1">
        <f t="shared" si="3"/>
        <v>8.3333333333333329E-2</v>
      </c>
      <c r="R69" s="1"/>
    </row>
    <row r="70" spans="1:18" x14ac:dyDescent="0.25">
      <c r="A70">
        <v>68</v>
      </c>
      <c r="B70" t="s">
        <v>17</v>
      </c>
      <c r="C70" t="s">
        <v>18</v>
      </c>
      <c r="D70" t="s">
        <v>19</v>
      </c>
      <c r="E70" t="s">
        <v>20</v>
      </c>
      <c r="F70" t="s">
        <v>21</v>
      </c>
      <c r="G70" t="s">
        <v>22</v>
      </c>
      <c r="H70" t="s">
        <v>23</v>
      </c>
      <c r="I70" t="s">
        <v>24</v>
      </c>
      <c r="J70" t="s">
        <v>159</v>
      </c>
      <c r="K70" t="s">
        <v>160</v>
      </c>
      <c r="L70">
        <v>6</v>
      </c>
      <c r="M70">
        <v>66</v>
      </c>
      <c r="N70">
        <v>1278303.75</v>
      </c>
      <c r="O70">
        <v>72</v>
      </c>
      <c r="P70" s="1">
        <f t="shared" si="2"/>
        <v>0.91666666666666663</v>
      </c>
      <c r="Q70" s="1">
        <f t="shared" si="3"/>
        <v>6.916666666666667</v>
      </c>
      <c r="R70" s="1"/>
    </row>
    <row r="71" spans="1:18" x14ac:dyDescent="0.25">
      <c r="A71">
        <v>69</v>
      </c>
      <c r="B71" t="s">
        <v>17</v>
      </c>
      <c r="C71" t="s">
        <v>18</v>
      </c>
      <c r="D71" t="s">
        <v>19</v>
      </c>
      <c r="E71" t="s">
        <v>20</v>
      </c>
      <c r="F71" t="s">
        <v>21</v>
      </c>
      <c r="G71" t="s">
        <v>22</v>
      </c>
      <c r="H71" t="s">
        <v>23</v>
      </c>
      <c r="I71" t="s">
        <v>24</v>
      </c>
      <c r="J71" t="s">
        <v>161</v>
      </c>
      <c r="K71" t="s">
        <v>162</v>
      </c>
      <c r="L71">
        <v>0</v>
      </c>
      <c r="M71">
        <v>2</v>
      </c>
      <c r="N71">
        <v>20740.349999999999</v>
      </c>
      <c r="O71">
        <v>24</v>
      </c>
      <c r="P71" s="1">
        <f t="shared" si="2"/>
        <v>8.3333333333333329E-2</v>
      </c>
      <c r="Q71" s="1">
        <f t="shared" si="3"/>
        <v>8.3333333333333329E-2</v>
      </c>
      <c r="R71" s="1"/>
    </row>
    <row r="72" spans="1:18" x14ac:dyDescent="0.25">
      <c r="A72">
        <v>70</v>
      </c>
      <c r="B72" t="s">
        <v>17</v>
      </c>
      <c r="C72" t="s">
        <v>18</v>
      </c>
      <c r="D72" t="s">
        <v>19</v>
      </c>
      <c r="E72" t="s">
        <v>20</v>
      </c>
      <c r="F72" t="s">
        <v>21</v>
      </c>
      <c r="G72" t="s">
        <v>22</v>
      </c>
      <c r="H72" t="s">
        <v>23</v>
      </c>
      <c r="I72" t="s">
        <v>24</v>
      </c>
      <c r="J72" t="s">
        <v>163</v>
      </c>
      <c r="K72" t="s">
        <v>164</v>
      </c>
      <c r="L72">
        <v>3</v>
      </c>
      <c r="M72">
        <v>9</v>
      </c>
      <c r="N72">
        <v>914834.25</v>
      </c>
      <c r="O72">
        <v>12</v>
      </c>
      <c r="P72" s="1">
        <f t="shared" si="2"/>
        <v>0.75</v>
      </c>
      <c r="Q72" s="1">
        <f t="shared" si="3"/>
        <v>3.75</v>
      </c>
      <c r="R72" s="1"/>
    </row>
    <row r="73" spans="1:18" x14ac:dyDescent="0.25">
      <c r="A73">
        <v>71</v>
      </c>
      <c r="B73" t="s">
        <v>17</v>
      </c>
      <c r="C73" t="s">
        <v>18</v>
      </c>
      <c r="D73" t="s">
        <v>19</v>
      </c>
      <c r="E73" t="s">
        <v>20</v>
      </c>
      <c r="F73" t="s">
        <v>21</v>
      </c>
      <c r="G73" t="s">
        <v>22</v>
      </c>
      <c r="H73" t="s">
        <v>23</v>
      </c>
      <c r="I73" t="s">
        <v>24</v>
      </c>
      <c r="J73" t="s">
        <v>165</v>
      </c>
      <c r="K73" t="s">
        <v>166</v>
      </c>
      <c r="L73">
        <v>0</v>
      </c>
      <c r="M73">
        <v>11</v>
      </c>
      <c r="N73">
        <v>83577.45</v>
      </c>
      <c r="O73">
        <v>24</v>
      </c>
      <c r="P73" s="1">
        <f t="shared" si="2"/>
        <v>0.45833333333333331</v>
      </c>
      <c r="Q73" s="1">
        <f t="shared" si="3"/>
        <v>0.45833333333333331</v>
      </c>
      <c r="R73" s="1"/>
    </row>
    <row r="74" spans="1:18" x14ac:dyDescent="0.25">
      <c r="A74">
        <v>72</v>
      </c>
      <c r="B74" t="s">
        <v>17</v>
      </c>
      <c r="C74" t="s">
        <v>18</v>
      </c>
      <c r="D74" t="s">
        <v>19</v>
      </c>
      <c r="E74" t="s">
        <v>20</v>
      </c>
      <c r="F74" t="s">
        <v>21</v>
      </c>
      <c r="G74" t="s">
        <v>22</v>
      </c>
      <c r="H74" t="s">
        <v>23</v>
      </c>
      <c r="I74" t="s">
        <v>24</v>
      </c>
      <c r="J74" t="s">
        <v>167</v>
      </c>
      <c r="K74" t="s">
        <v>168</v>
      </c>
      <c r="L74">
        <v>6</v>
      </c>
      <c r="M74">
        <v>0</v>
      </c>
      <c r="N74">
        <v>1094104.8</v>
      </c>
      <c r="O74">
        <v>12</v>
      </c>
      <c r="P74" s="1">
        <f t="shared" si="2"/>
        <v>0</v>
      </c>
      <c r="Q74" s="1">
        <f t="shared" si="3"/>
        <v>6</v>
      </c>
      <c r="R74" s="1"/>
    </row>
    <row r="75" spans="1:18" x14ac:dyDescent="0.25">
      <c r="A75">
        <v>73</v>
      </c>
      <c r="B75" t="s">
        <v>17</v>
      </c>
      <c r="C75" t="s">
        <v>18</v>
      </c>
      <c r="D75" t="s">
        <v>19</v>
      </c>
      <c r="E75" t="s">
        <v>20</v>
      </c>
      <c r="F75" t="s">
        <v>21</v>
      </c>
      <c r="G75" t="s">
        <v>22</v>
      </c>
      <c r="H75" t="s">
        <v>23</v>
      </c>
      <c r="I75" t="s">
        <v>24</v>
      </c>
      <c r="J75" t="s">
        <v>169</v>
      </c>
      <c r="K75" t="s">
        <v>170</v>
      </c>
      <c r="L75">
        <v>1</v>
      </c>
      <c r="M75">
        <v>0</v>
      </c>
      <c r="N75">
        <v>248884.2</v>
      </c>
      <c r="O75">
        <v>12</v>
      </c>
      <c r="P75" s="1">
        <f t="shared" si="2"/>
        <v>0</v>
      </c>
      <c r="Q75" s="1">
        <f t="shared" si="3"/>
        <v>1</v>
      </c>
      <c r="R75" s="1"/>
    </row>
    <row r="76" spans="1:18" x14ac:dyDescent="0.25">
      <c r="A76">
        <v>74</v>
      </c>
      <c r="B76" t="s">
        <v>17</v>
      </c>
      <c r="C76" t="s">
        <v>18</v>
      </c>
      <c r="D76" t="s">
        <v>19</v>
      </c>
      <c r="E76" t="s">
        <v>20</v>
      </c>
      <c r="F76" t="s">
        <v>21</v>
      </c>
      <c r="G76" t="s">
        <v>22</v>
      </c>
      <c r="H76" t="s">
        <v>23</v>
      </c>
      <c r="I76" t="s">
        <v>24</v>
      </c>
      <c r="J76" t="s">
        <v>171</v>
      </c>
      <c r="K76" t="s">
        <v>172</v>
      </c>
      <c r="L76">
        <v>0</v>
      </c>
      <c r="M76">
        <v>46</v>
      </c>
      <c r="N76">
        <v>118076.25</v>
      </c>
      <c r="O76">
        <v>72</v>
      </c>
      <c r="P76" s="1">
        <f t="shared" si="2"/>
        <v>0.63888888888888884</v>
      </c>
      <c r="Q76" s="1">
        <f t="shared" si="3"/>
        <v>0.63888888888888884</v>
      </c>
      <c r="R76" s="1"/>
    </row>
    <row r="77" spans="1:18" x14ac:dyDescent="0.25">
      <c r="A77">
        <v>75</v>
      </c>
      <c r="B77" t="s">
        <v>17</v>
      </c>
      <c r="C77" t="s">
        <v>18</v>
      </c>
      <c r="D77" t="s">
        <v>19</v>
      </c>
      <c r="E77" t="s">
        <v>20</v>
      </c>
      <c r="F77" t="s">
        <v>21</v>
      </c>
      <c r="G77" t="s">
        <v>22</v>
      </c>
      <c r="H77" t="s">
        <v>23</v>
      </c>
      <c r="I77" t="s">
        <v>24</v>
      </c>
      <c r="J77" t="s">
        <v>173</v>
      </c>
      <c r="K77" t="s">
        <v>174</v>
      </c>
      <c r="L77">
        <v>0</v>
      </c>
      <c r="M77">
        <v>3</v>
      </c>
      <c r="N77">
        <v>31110.53</v>
      </c>
      <c r="O77">
        <v>24</v>
      </c>
      <c r="P77" s="1">
        <f t="shared" si="2"/>
        <v>0.125</v>
      </c>
      <c r="Q77" s="1">
        <f t="shared" si="3"/>
        <v>0.125</v>
      </c>
      <c r="R77" s="1"/>
    </row>
    <row r="78" spans="1:18" x14ac:dyDescent="0.25">
      <c r="A78">
        <v>76</v>
      </c>
      <c r="B78" t="s">
        <v>17</v>
      </c>
      <c r="C78" t="s">
        <v>18</v>
      </c>
      <c r="D78" t="s">
        <v>19</v>
      </c>
      <c r="E78" t="s">
        <v>20</v>
      </c>
      <c r="F78" t="s">
        <v>21</v>
      </c>
      <c r="G78" t="s">
        <v>22</v>
      </c>
      <c r="H78" t="s">
        <v>23</v>
      </c>
      <c r="I78" t="s">
        <v>24</v>
      </c>
      <c r="J78" t="s">
        <v>175</v>
      </c>
      <c r="K78" t="s">
        <v>176</v>
      </c>
      <c r="L78">
        <v>6</v>
      </c>
      <c r="M78">
        <v>5</v>
      </c>
      <c r="N78">
        <v>1565383.05</v>
      </c>
      <c r="O78">
        <v>12</v>
      </c>
      <c r="P78" s="1">
        <f t="shared" si="2"/>
        <v>0.41666666666666669</v>
      </c>
      <c r="Q78" s="1">
        <f t="shared" si="3"/>
        <v>6.416666666666667</v>
      </c>
      <c r="R78" s="1"/>
    </row>
    <row r="79" spans="1:18" x14ac:dyDescent="0.25">
      <c r="A79">
        <v>77</v>
      </c>
      <c r="B79" t="s">
        <v>17</v>
      </c>
      <c r="C79" t="s">
        <v>18</v>
      </c>
      <c r="D79" t="s">
        <v>19</v>
      </c>
      <c r="E79" t="s">
        <v>20</v>
      </c>
      <c r="F79" t="s">
        <v>21</v>
      </c>
      <c r="G79" t="s">
        <v>22</v>
      </c>
      <c r="H79" t="s">
        <v>23</v>
      </c>
      <c r="I79" t="s">
        <v>24</v>
      </c>
      <c r="J79" t="s">
        <v>177</v>
      </c>
      <c r="K79" t="s">
        <v>178</v>
      </c>
      <c r="L79">
        <v>6</v>
      </c>
      <c r="M79">
        <v>10</v>
      </c>
      <c r="N79">
        <v>1170084.3</v>
      </c>
      <c r="O79">
        <v>24</v>
      </c>
      <c r="P79" s="1">
        <f t="shared" si="2"/>
        <v>0.41666666666666669</v>
      </c>
      <c r="Q79" s="1">
        <f t="shared" si="3"/>
        <v>6.416666666666667</v>
      </c>
      <c r="R79" s="1"/>
    </row>
    <row r="80" spans="1:18" x14ac:dyDescent="0.25">
      <c r="A80">
        <v>78</v>
      </c>
      <c r="B80" t="s">
        <v>17</v>
      </c>
      <c r="C80" t="s">
        <v>18</v>
      </c>
      <c r="D80" t="s">
        <v>19</v>
      </c>
      <c r="E80" t="s">
        <v>20</v>
      </c>
      <c r="F80" t="s">
        <v>21</v>
      </c>
      <c r="G80" t="s">
        <v>22</v>
      </c>
      <c r="H80" t="s">
        <v>23</v>
      </c>
      <c r="I80" t="s">
        <v>24</v>
      </c>
      <c r="J80" t="s">
        <v>179</v>
      </c>
      <c r="K80" t="s">
        <v>180</v>
      </c>
      <c r="L80">
        <v>4</v>
      </c>
      <c r="M80">
        <v>6</v>
      </c>
      <c r="N80">
        <v>820578.6</v>
      </c>
      <c r="O80">
        <v>12</v>
      </c>
      <c r="P80" s="1">
        <f t="shared" si="2"/>
        <v>0.5</v>
      </c>
      <c r="Q80" s="1">
        <f t="shared" si="3"/>
        <v>4.5</v>
      </c>
      <c r="R80" s="1"/>
    </row>
    <row r="81" spans="1:18" x14ac:dyDescent="0.25">
      <c r="A81">
        <v>79</v>
      </c>
      <c r="B81" t="s">
        <v>17</v>
      </c>
      <c r="C81" t="s">
        <v>18</v>
      </c>
      <c r="D81" t="s">
        <v>19</v>
      </c>
      <c r="E81" t="s">
        <v>20</v>
      </c>
      <c r="F81" t="s">
        <v>21</v>
      </c>
      <c r="G81" t="s">
        <v>22</v>
      </c>
      <c r="H81" t="s">
        <v>23</v>
      </c>
      <c r="I81" t="s">
        <v>24</v>
      </c>
      <c r="J81" t="s">
        <v>181</v>
      </c>
      <c r="K81" t="s">
        <v>182</v>
      </c>
      <c r="L81">
        <v>6</v>
      </c>
      <c r="M81">
        <v>22</v>
      </c>
      <c r="N81">
        <v>1165361.25</v>
      </c>
      <c r="O81">
        <v>72</v>
      </c>
      <c r="P81" s="1">
        <f t="shared" si="2"/>
        <v>0.30555555555555558</v>
      </c>
      <c r="Q81" s="1">
        <f t="shared" si="3"/>
        <v>6.3055555555555554</v>
      </c>
      <c r="R81" s="1"/>
    </row>
    <row r="82" spans="1:18" x14ac:dyDescent="0.25">
      <c r="A82">
        <v>80</v>
      </c>
      <c r="B82" t="s">
        <v>17</v>
      </c>
      <c r="C82" t="s">
        <v>18</v>
      </c>
      <c r="D82" t="s">
        <v>19</v>
      </c>
      <c r="E82" t="s">
        <v>20</v>
      </c>
      <c r="F82" t="s">
        <v>21</v>
      </c>
      <c r="G82" t="s">
        <v>22</v>
      </c>
      <c r="H82" t="s">
        <v>23</v>
      </c>
      <c r="I82" t="s">
        <v>24</v>
      </c>
      <c r="J82" t="s">
        <v>183</v>
      </c>
      <c r="K82" t="s">
        <v>184</v>
      </c>
      <c r="L82">
        <v>0</v>
      </c>
      <c r="M82">
        <v>23</v>
      </c>
      <c r="N82">
        <v>238514.03</v>
      </c>
      <c r="O82">
        <v>24</v>
      </c>
      <c r="P82" s="1">
        <f t="shared" si="2"/>
        <v>0.95833333333333337</v>
      </c>
      <c r="Q82" s="1">
        <f t="shared" si="3"/>
        <v>0.95833333333333337</v>
      </c>
      <c r="R82" s="1"/>
    </row>
    <row r="83" spans="1:18" x14ac:dyDescent="0.25">
      <c r="A83">
        <v>81</v>
      </c>
      <c r="B83" t="s">
        <v>17</v>
      </c>
      <c r="C83" t="s">
        <v>18</v>
      </c>
      <c r="D83" t="s">
        <v>19</v>
      </c>
      <c r="E83" t="s">
        <v>20</v>
      </c>
      <c r="F83" t="s">
        <v>21</v>
      </c>
      <c r="G83" t="s">
        <v>22</v>
      </c>
      <c r="H83" t="s">
        <v>23</v>
      </c>
      <c r="I83" t="s">
        <v>24</v>
      </c>
      <c r="J83" t="s">
        <v>185</v>
      </c>
      <c r="K83" t="s">
        <v>186</v>
      </c>
      <c r="L83">
        <v>0</v>
      </c>
      <c r="M83">
        <v>3</v>
      </c>
      <c r="N83">
        <v>60988.95</v>
      </c>
      <c r="O83">
        <v>12</v>
      </c>
      <c r="P83" s="1">
        <f t="shared" si="2"/>
        <v>0.25</v>
      </c>
      <c r="Q83" s="1">
        <f t="shared" si="3"/>
        <v>0.25</v>
      </c>
      <c r="R83" s="1"/>
    </row>
    <row r="84" spans="1:18" x14ac:dyDescent="0.25">
      <c r="A84">
        <v>82</v>
      </c>
      <c r="B84" t="s">
        <v>17</v>
      </c>
      <c r="C84" t="s">
        <v>18</v>
      </c>
      <c r="D84" t="s">
        <v>19</v>
      </c>
      <c r="E84" t="s">
        <v>20</v>
      </c>
      <c r="F84" t="s">
        <v>21</v>
      </c>
      <c r="G84" t="s">
        <v>22</v>
      </c>
      <c r="H84" t="s">
        <v>23</v>
      </c>
      <c r="I84" t="s">
        <v>24</v>
      </c>
      <c r="J84" t="s">
        <v>187</v>
      </c>
      <c r="K84" t="s">
        <v>188</v>
      </c>
      <c r="L84">
        <v>1</v>
      </c>
      <c r="M84">
        <v>21</v>
      </c>
      <c r="N84">
        <v>341907.75</v>
      </c>
      <c r="O84">
        <v>24</v>
      </c>
      <c r="P84" s="1">
        <f t="shared" si="2"/>
        <v>0.875</v>
      </c>
      <c r="Q84" s="1">
        <f t="shared" si="3"/>
        <v>1.875</v>
      </c>
      <c r="R84" s="1"/>
    </row>
    <row r="85" spans="1:18" x14ac:dyDescent="0.25">
      <c r="A85">
        <v>83</v>
      </c>
      <c r="B85" t="s">
        <v>17</v>
      </c>
      <c r="C85" t="s">
        <v>18</v>
      </c>
      <c r="D85" t="s">
        <v>19</v>
      </c>
      <c r="E85" t="s">
        <v>20</v>
      </c>
      <c r="F85" t="s">
        <v>21</v>
      </c>
      <c r="G85" t="s">
        <v>22</v>
      </c>
      <c r="H85" t="s">
        <v>23</v>
      </c>
      <c r="I85" t="s">
        <v>24</v>
      </c>
      <c r="J85" t="s">
        <v>189</v>
      </c>
      <c r="K85" t="s">
        <v>190</v>
      </c>
      <c r="L85">
        <v>1</v>
      </c>
      <c r="M85">
        <v>5</v>
      </c>
      <c r="N85">
        <v>258330.3</v>
      </c>
      <c r="O85">
        <v>12</v>
      </c>
      <c r="P85" s="1">
        <f t="shared" si="2"/>
        <v>0.41666666666666669</v>
      </c>
      <c r="Q85" s="1">
        <f t="shared" si="3"/>
        <v>1.4166666666666667</v>
      </c>
      <c r="R85" s="1"/>
    </row>
    <row r="86" spans="1:18" x14ac:dyDescent="0.25">
      <c r="A86">
        <v>84</v>
      </c>
      <c r="B86" t="s">
        <v>17</v>
      </c>
      <c r="C86" t="s">
        <v>18</v>
      </c>
      <c r="D86" t="s">
        <v>19</v>
      </c>
      <c r="E86" t="s">
        <v>20</v>
      </c>
      <c r="F86" t="s">
        <v>21</v>
      </c>
      <c r="G86" t="s">
        <v>22</v>
      </c>
      <c r="H86" t="s">
        <v>23</v>
      </c>
      <c r="I86" t="s">
        <v>24</v>
      </c>
      <c r="J86" t="s">
        <v>191</v>
      </c>
      <c r="K86" t="s">
        <v>192</v>
      </c>
      <c r="L86">
        <v>0</v>
      </c>
      <c r="M86">
        <v>2</v>
      </c>
      <c r="N86">
        <v>41480.699999999997</v>
      </c>
      <c r="O86">
        <v>12</v>
      </c>
      <c r="P86" s="1">
        <f t="shared" si="2"/>
        <v>0.16666666666666666</v>
      </c>
      <c r="Q86" s="1">
        <f t="shared" si="3"/>
        <v>0.16666666666666666</v>
      </c>
      <c r="R86" s="1"/>
    </row>
    <row r="87" spans="1:18" x14ac:dyDescent="0.25">
      <c r="A87">
        <v>85</v>
      </c>
      <c r="B87" t="s">
        <v>17</v>
      </c>
      <c r="C87" t="s">
        <v>18</v>
      </c>
      <c r="D87" t="s">
        <v>19</v>
      </c>
      <c r="E87" t="s">
        <v>20</v>
      </c>
      <c r="F87" t="s">
        <v>21</v>
      </c>
      <c r="G87" t="s">
        <v>22</v>
      </c>
      <c r="H87" t="s">
        <v>23</v>
      </c>
      <c r="I87" t="s">
        <v>24</v>
      </c>
      <c r="J87" t="s">
        <v>193</v>
      </c>
      <c r="K87" t="s">
        <v>194</v>
      </c>
      <c r="L87">
        <v>1</v>
      </c>
      <c r="M87">
        <v>14</v>
      </c>
      <c r="N87">
        <v>220751.25</v>
      </c>
      <c r="O87">
        <v>72</v>
      </c>
      <c r="P87" s="1">
        <f t="shared" si="2"/>
        <v>0.19444444444444445</v>
      </c>
      <c r="Q87" s="1">
        <f t="shared" si="3"/>
        <v>1.1944444444444444</v>
      </c>
      <c r="R87" s="1"/>
    </row>
    <row r="88" spans="1:18" x14ac:dyDescent="0.25">
      <c r="A88">
        <v>86</v>
      </c>
      <c r="B88" t="s">
        <v>17</v>
      </c>
      <c r="C88" t="s">
        <v>18</v>
      </c>
      <c r="D88" t="s">
        <v>19</v>
      </c>
      <c r="E88" t="s">
        <v>20</v>
      </c>
      <c r="F88" t="s">
        <v>21</v>
      </c>
      <c r="G88" t="s">
        <v>22</v>
      </c>
      <c r="H88" t="s">
        <v>23</v>
      </c>
      <c r="I88" t="s">
        <v>24</v>
      </c>
      <c r="J88" t="s">
        <v>195</v>
      </c>
      <c r="K88" t="s">
        <v>196</v>
      </c>
      <c r="L88">
        <v>0</v>
      </c>
      <c r="M88">
        <v>1</v>
      </c>
      <c r="N88">
        <v>10370.18</v>
      </c>
      <c r="O88">
        <v>24</v>
      </c>
      <c r="P88" s="1">
        <f t="shared" si="2"/>
        <v>4.1666666666666664E-2</v>
      </c>
      <c r="Q88" s="1">
        <f t="shared" si="3"/>
        <v>4.1666666666666664E-2</v>
      </c>
      <c r="R88" s="1"/>
    </row>
    <row r="89" spans="1:18" x14ac:dyDescent="0.25">
      <c r="A89">
        <v>87</v>
      </c>
      <c r="B89" t="s">
        <v>17</v>
      </c>
      <c r="C89" t="s">
        <v>18</v>
      </c>
      <c r="D89" t="s">
        <v>19</v>
      </c>
      <c r="E89" t="s">
        <v>20</v>
      </c>
      <c r="F89" t="s">
        <v>21</v>
      </c>
      <c r="G89" t="s">
        <v>22</v>
      </c>
      <c r="H89" t="s">
        <v>23</v>
      </c>
      <c r="I89" t="s">
        <v>24</v>
      </c>
      <c r="J89" t="s">
        <v>197</v>
      </c>
      <c r="K89" t="s">
        <v>198</v>
      </c>
      <c r="L89">
        <v>2</v>
      </c>
      <c r="M89">
        <v>2</v>
      </c>
      <c r="N89">
        <v>528570.9</v>
      </c>
      <c r="O89">
        <v>12</v>
      </c>
      <c r="P89" s="1">
        <f t="shared" si="2"/>
        <v>0.16666666666666666</v>
      </c>
      <c r="Q89" s="1">
        <f t="shared" si="3"/>
        <v>2.1666666666666665</v>
      </c>
      <c r="R89" s="1"/>
    </row>
    <row r="90" spans="1:18" x14ac:dyDescent="0.25">
      <c r="A90">
        <v>88</v>
      </c>
      <c r="B90" t="s">
        <v>17</v>
      </c>
      <c r="C90" t="s">
        <v>18</v>
      </c>
      <c r="D90" t="s">
        <v>19</v>
      </c>
      <c r="E90" t="s">
        <v>20</v>
      </c>
      <c r="F90" t="s">
        <v>21</v>
      </c>
      <c r="G90" t="s">
        <v>22</v>
      </c>
      <c r="H90" t="s">
        <v>23</v>
      </c>
      <c r="I90" t="s">
        <v>24</v>
      </c>
      <c r="J90" t="s">
        <v>199</v>
      </c>
      <c r="K90" t="s">
        <v>200</v>
      </c>
      <c r="L90">
        <v>3</v>
      </c>
      <c r="M90">
        <v>2</v>
      </c>
      <c r="N90">
        <v>562248.30000000005</v>
      </c>
      <c r="O90">
        <v>24</v>
      </c>
      <c r="P90" s="1">
        <f t="shared" si="2"/>
        <v>8.3333333333333329E-2</v>
      </c>
      <c r="Q90" s="1">
        <f t="shared" si="3"/>
        <v>3.0833333333333335</v>
      </c>
      <c r="R90" s="1"/>
    </row>
    <row r="91" spans="1:18" x14ac:dyDescent="0.25">
      <c r="A91">
        <v>89</v>
      </c>
      <c r="B91" t="s">
        <v>17</v>
      </c>
      <c r="C91" t="s">
        <v>18</v>
      </c>
      <c r="D91" t="s">
        <v>19</v>
      </c>
      <c r="E91" t="s">
        <v>20</v>
      </c>
      <c r="F91" t="s">
        <v>21</v>
      </c>
      <c r="G91" t="s">
        <v>22</v>
      </c>
      <c r="H91" t="s">
        <v>23</v>
      </c>
      <c r="I91" t="s">
        <v>24</v>
      </c>
      <c r="J91" t="s">
        <v>201</v>
      </c>
      <c r="K91" t="s">
        <v>202</v>
      </c>
      <c r="L91">
        <v>7</v>
      </c>
      <c r="M91">
        <v>4</v>
      </c>
      <c r="N91">
        <v>1337239.2</v>
      </c>
      <c r="O91">
        <v>12</v>
      </c>
      <c r="P91" s="1">
        <f t="shared" si="2"/>
        <v>0.33333333333333331</v>
      </c>
      <c r="Q91" s="1">
        <f t="shared" si="3"/>
        <v>7.333333333333333</v>
      </c>
      <c r="R91" s="1"/>
    </row>
    <row r="92" spans="1:18" x14ac:dyDescent="0.25">
      <c r="A92">
        <v>90</v>
      </c>
      <c r="B92" t="s">
        <v>17</v>
      </c>
      <c r="C92" t="s">
        <v>18</v>
      </c>
      <c r="D92" t="s">
        <v>19</v>
      </c>
      <c r="E92" t="s">
        <v>20</v>
      </c>
      <c r="F92" t="s">
        <v>21</v>
      </c>
      <c r="G92" t="s">
        <v>22</v>
      </c>
      <c r="H92" t="s">
        <v>23</v>
      </c>
      <c r="I92" t="s">
        <v>24</v>
      </c>
      <c r="J92" t="s">
        <v>203</v>
      </c>
      <c r="K92" t="s">
        <v>204</v>
      </c>
      <c r="L92">
        <v>2</v>
      </c>
      <c r="M92">
        <v>3</v>
      </c>
      <c r="N92">
        <v>324350.46000000002</v>
      </c>
      <c r="O92">
        <v>12</v>
      </c>
      <c r="P92" s="1">
        <f t="shared" si="2"/>
        <v>0.25</v>
      </c>
      <c r="Q92" s="1">
        <f t="shared" si="3"/>
        <v>2.25</v>
      </c>
      <c r="R92" s="1"/>
    </row>
    <row r="93" spans="1:18" x14ac:dyDescent="0.25">
      <c r="A93">
        <v>91</v>
      </c>
      <c r="B93" t="s">
        <v>17</v>
      </c>
      <c r="C93" t="s">
        <v>18</v>
      </c>
      <c r="D93" t="s">
        <v>19</v>
      </c>
      <c r="E93" t="s">
        <v>20</v>
      </c>
      <c r="F93" t="s">
        <v>21</v>
      </c>
      <c r="G93" t="s">
        <v>22</v>
      </c>
      <c r="H93" t="s">
        <v>23</v>
      </c>
      <c r="I93" t="s">
        <v>24</v>
      </c>
      <c r="J93" t="s">
        <v>205</v>
      </c>
      <c r="K93" t="s">
        <v>206</v>
      </c>
      <c r="L93">
        <v>0</v>
      </c>
      <c r="M93">
        <v>3</v>
      </c>
      <c r="N93">
        <v>36038.94</v>
      </c>
      <c r="O93">
        <v>12</v>
      </c>
      <c r="P93" s="1">
        <f t="shared" si="2"/>
        <v>0.25</v>
      </c>
      <c r="Q93" s="1">
        <f t="shared" si="3"/>
        <v>0.25</v>
      </c>
      <c r="R93" s="1"/>
    </row>
    <row r="94" spans="1:18" x14ac:dyDescent="0.25">
      <c r="A94">
        <v>92</v>
      </c>
      <c r="B94" t="s">
        <v>17</v>
      </c>
      <c r="C94" t="s">
        <v>18</v>
      </c>
      <c r="D94" t="s">
        <v>19</v>
      </c>
      <c r="E94" t="s">
        <v>20</v>
      </c>
      <c r="F94" t="s">
        <v>21</v>
      </c>
      <c r="G94" t="s">
        <v>22</v>
      </c>
      <c r="H94" t="s">
        <v>23</v>
      </c>
      <c r="I94" t="s">
        <v>24</v>
      </c>
      <c r="J94" t="s">
        <v>207</v>
      </c>
      <c r="K94" t="s">
        <v>208</v>
      </c>
      <c r="L94">
        <v>2</v>
      </c>
      <c r="M94">
        <v>15</v>
      </c>
      <c r="N94">
        <v>258741</v>
      </c>
      <c r="O94">
        <v>24</v>
      </c>
      <c r="P94" s="1">
        <f t="shared" si="2"/>
        <v>0.625</v>
      </c>
      <c r="Q94" s="1">
        <f t="shared" si="3"/>
        <v>2.625</v>
      </c>
      <c r="R94" s="1"/>
    </row>
    <row r="95" spans="1:18" x14ac:dyDescent="0.25">
      <c r="A95">
        <v>93</v>
      </c>
      <c r="B95" t="s">
        <v>17</v>
      </c>
      <c r="C95" t="s">
        <v>18</v>
      </c>
      <c r="D95" t="s">
        <v>19</v>
      </c>
      <c r="E95" t="s">
        <v>20</v>
      </c>
      <c r="F95" t="s">
        <v>21</v>
      </c>
      <c r="G95" t="s">
        <v>22</v>
      </c>
      <c r="H95" t="s">
        <v>23</v>
      </c>
      <c r="I95" t="s">
        <v>24</v>
      </c>
      <c r="J95" t="s">
        <v>209</v>
      </c>
      <c r="K95" t="s">
        <v>210</v>
      </c>
      <c r="L95">
        <v>0</v>
      </c>
      <c r="M95">
        <v>11</v>
      </c>
      <c r="N95">
        <v>68894.98</v>
      </c>
      <c r="O95">
        <v>48</v>
      </c>
      <c r="P95" s="1">
        <f t="shared" si="2"/>
        <v>0.22916666666666666</v>
      </c>
      <c r="Q95" s="1">
        <f t="shared" si="3"/>
        <v>0.22916666666666666</v>
      </c>
      <c r="R95" s="1"/>
    </row>
    <row r="96" spans="1:18" x14ac:dyDescent="0.25">
      <c r="A96">
        <v>94</v>
      </c>
      <c r="B96" t="s">
        <v>17</v>
      </c>
      <c r="C96" t="s">
        <v>18</v>
      </c>
      <c r="D96" t="s">
        <v>19</v>
      </c>
      <c r="E96" t="s">
        <v>20</v>
      </c>
      <c r="F96" t="s">
        <v>21</v>
      </c>
      <c r="G96" t="s">
        <v>22</v>
      </c>
      <c r="H96" t="s">
        <v>23</v>
      </c>
      <c r="I96" t="s">
        <v>24</v>
      </c>
      <c r="J96" t="s">
        <v>211</v>
      </c>
      <c r="K96" t="s">
        <v>212</v>
      </c>
      <c r="L96">
        <v>2</v>
      </c>
      <c r="M96">
        <v>13</v>
      </c>
      <c r="N96">
        <v>637919.78</v>
      </c>
      <c r="O96">
        <v>48</v>
      </c>
      <c r="P96" s="1">
        <f t="shared" si="2"/>
        <v>0.27083333333333331</v>
      </c>
      <c r="Q96" s="1">
        <f t="shared" si="3"/>
        <v>2.2708333333333335</v>
      </c>
      <c r="R96" s="1"/>
    </row>
    <row r="97" spans="1:18" x14ac:dyDescent="0.25">
      <c r="A97">
        <v>95</v>
      </c>
      <c r="B97" t="s">
        <v>17</v>
      </c>
      <c r="C97" t="s">
        <v>18</v>
      </c>
      <c r="D97" t="s">
        <v>19</v>
      </c>
      <c r="E97" t="s">
        <v>20</v>
      </c>
      <c r="F97" t="s">
        <v>21</v>
      </c>
      <c r="G97" t="s">
        <v>22</v>
      </c>
      <c r="H97" t="s">
        <v>23</v>
      </c>
      <c r="I97" t="s">
        <v>24</v>
      </c>
      <c r="J97" t="s">
        <v>213</v>
      </c>
      <c r="K97" t="s">
        <v>214</v>
      </c>
      <c r="L97">
        <v>1</v>
      </c>
      <c r="M97">
        <v>3</v>
      </c>
      <c r="N97">
        <v>298476.23</v>
      </c>
      <c r="O97">
        <v>48</v>
      </c>
      <c r="P97" s="1">
        <f t="shared" si="2"/>
        <v>6.25E-2</v>
      </c>
      <c r="Q97" s="1">
        <f t="shared" si="3"/>
        <v>1.0625</v>
      </c>
      <c r="R97" s="1"/>
    </row>
    <row r="98" spans="1:18" x14ac:dyDescent="0.25">
      <c r="A98">
        <v>96</v>
      </c>
      <c r="B98" t="s">
        <v>17</v>
      </c>
      <c r="C98" t="s">
        <v>18</v>
      </c>
      <c r="D98" t="s">
        <v>19</v>
      </c>
      <c r="E98" t="s">
        <v>20</v>
      </c>
      <c r="F98" t="s">
        <v>21</v>
      </c>
      <c r="G98" t="s">
        <v>22</v>
      </c>
      <c r="H98" t="s">
        <v>23</v>
      </c>
      <c r="I98" t="s">
        <v>24</v>
      </c>
      <c r="J98" t="s">
        <v>215</v>
      </c>
      <c r="K98" t="s">
        <v>216</v>
      </c>
      <c r="L98">
        <v>1</v>
      </c>
      <c r="M98">
        <v>9</v>
      </c>
      <c r="N98">
        <v>333591.08</v>
      </c>
      <c r="O98">
        <v>48</v>
      </c>
      <c r="P98" s="1">
        <f t="shared" si="2"/>
        <v>0.1875</v>
      </c>
      <c r="Q98" s="1">
        <f t="shared" si="3"/>
        <v>1.1875</v>
      </c>
      <c r="R98" s="1"/>
    </row>
    <row r="99" spans="1:18" x14ac:dyDescent="0.25">
      <c r="A99">
        <v>97</v>
      </c>
      <c r="B99" t="s">
        <v>17</v>
      </c>
      <c r="C99" t="s">
        <v>18</v>
      </c>
      <c r="D99" t="s">
        <v>19</v>
      </c>
      <c r="E99" t="s">
        <v>20</v>
      </c>
      <c r="F99" t="s">
        <v>21</v>
      </c>
      <c r="G99" t="s">
        <v>22</v>
      </c>
      <c r="H99" t="s">
        <v>23</v>
      </c>
      <c r="I99" t="s">
        <v>24</v>
      </c>
      <c r="J99" t="s">
        <v>217</v>
      </c>
      <c r="K99" t="s">
        <v>218</v>
      </c>
      <c r="L99">
        <v>3</v>
      </c>
      <c r="M99">
        <v>1</v>
      </c>
      <c r="N99">
        <v>1086506.8500000001</v>
      </c>
      <c r="O99">
        <v>12</v>
      </c>
      <c r="P99" s="1">
        <f t="shared" si="2"/>
        <v>8.3333333333333329E-2</v>
      </c>
      <c r="Q99" s="1">
        <f t="shared" si="3"/>
        <v>3.0833333333333335</v>
      </c>
      <c r="R99" s="1"/>
    </row>
    <row r="100" spans="1:18" x14ac:dyDescent="0.25">
      <c r="A100">
        <v>98</v>
      </c>
      <c r="B100" t="s">
        <v>17</v>
      </c>
      <c r="C100" t="s">
        <v>18</v>
      </c>
      <c r="D100" t="s">
        <v>19</v>
      </c>
      <c r="E100" t="s">
        <v>20</v>
      </c>
      <c r="F100" t="s">
        <v>21</v>
      </c>
      <c r="G100" t="s">
        <v>22</v>
      </c>
      <c r="H100" t="s">
        <v>23</v>
      </c>
      <c r="I100" t="s">
        <v>24</v>
      </c>
      <c r="J100" t="s">
        <v>219</v>
      </c>
      <c r="K100" t="s">
        <v>220</v>
      </c>
      <c r="L100">
        <v>1</v>
      </c>
      <c r="M100">
        <v>0</v>
      </c>
      <c r="N100">
        <v>156476.70000000001</v>
      </c>
      <c r="O100">
        <v>12</v>
      </c>
      <c r="P100" s="1">
        <f t="shared" si="2"/>
        <v>0</v>
      </c>
      <c r="Q100" s="1">
        <f t="shared" si="3"/>
        <v>1</v>
      </c>
      <c r="R100" s="1"/>
    </row>
    <row r="101" spans="1:18" x14ac:dyDescent="0.25">
      <c r="A101">
        <v>99</v>
      </c>
      <c r="B101" t="s">
        <v>17</v>
      </c>
      <c r="C101" t="s">
        <v>18</v>
      </c>
      <c r="D101" t="s">
        <v>19</v>
      </c>
      <c r="E101" t="s">
        <v>20</v>
      </c>
      <c r="F101" t="s">
        <v>21</v>
      </c>
      <c r="G101" t="s">
        <v>22</v>
      </c>
      <c r="H101" t="s">
        <v>23</v>
      </c>
      <c r="I101" t="s">
        <v>24</v>
      </c>
      <c r="J101" t="s">
        <v>221</v>
      </c>
      <c r="K101" t="s">
        <v>222</v>
      </c>
      <c r="L101">
        <v>2</v>
      </c>
      <c r="M101">
        <v>1</v>
      </c>
      <c r="N101">
        <v>292372.34000000003</v>
      </c>
      <c r="O101">
        <v>4</v>
      </c>
      <c r="P101" s="1">
        <f t="shared" si="2"/>
        <v>0.25</v>
      </c>
      <c r="Q101" s="1">
        <f t="shared" si="3"/>
        <v>2.25</v>
      </c>
      <c r="R101" s="1"/>
    </row>
    <row r="102" spans="1:18" x14ac:dyDescent="0.25">
      <c r="A102">
        <v>100</v>
      </c>
      <c r="B102" t="s">
        <v>17</v>
      </c>
      <c r="C102" t="s">
        <v>18</v>
      </c>
      <c r="D102" t="s">
        <v>19</v>
      </c>
      <c r="E102" t="s">
        <v>20</v>
      </c>
      <c r="F102" t="s">
        <v>21</v>
      </c>
      <c r="G102" t="s">
        <v>22</v>
      </c>
      <c r="H102" t="s">
        <v>23</v>
      </c>
      <c r="I102" t="s">
        <v>24</v>
      </c>
      <c r="J102" t="s">
        <v>223</v>
      </c>
      <c r="K102" t="s">
        <v>224</v>
      </c>
      <c r="L102">
        <v>7</v>
      </c>
      <c r="M102">
        <v>5</v>
      </c>
      <c r="N102">
        <v>746036.55</v>
      </c>
      <c r="O102">
        <v>24</v>
      </c>
      <c r="P102" s="1">
        <f t="shared" si="2"/>
        <v>0.20833333333333334</v>
      </c>
      <c r="Q102" s="1">
        <f t="shared" si="3"/>
        <v>7.208333333333333</v>
      </c>
      <c r="R102" s="1"/>
    </row>
    <row r="103" spans="1:18" x14ac:dyDescent="0.25">
      <c r="A103">
        <v>101</v>
      </c>
      <c r="B103" t="s">
        <v>17</v>
      </c>
      <c r="C103" t="s">
        <v>18</v>
      </c>
      <c r="D103" t="s">
        <v>19</v>
      </c>
      <c r="E103" t="s">
        <v>20</v>
      </c>
      <c r="F103" t="s">
        <v>21</v>
      </c>
      <c r="G103" t="s">
        <v>22</v>
      </c>
      <c r="H103" t="s">
        <v>23</v>
      </c>
      <c r="I103" t="s">
        <v>24</v>
      </c>
      <c r="J103" t="s">
        <v>225</v>
      </c>
      <c r="K103" t="s">
        <v>226</v>
      </c>
      <c r="L103">
        <v>1</v>
      </c>
      <c r="M103">
        <v>6</v>
      </c>
      <c r="N103">
        <v>234715.05</v>
      </c>
      <c r="O103">
        <v>12</v>
      </c>
      <c r="P103" s="1">
        <f t="shared" si="2"/>
        <v>0.5</v>
      </c>
      <c r="Q103" s="1">
        <f t="shared" si="3"/>
        <v>1.5</v>
      </c>
      <c r="R103" s="1"/>
    </row>
    <row r="104" spans="1:18" x14ac:dyDescent="0.25">
      <c r="A104">
        <v>102</v>
      </c>
      <c r="B104" t="s">
        <v>17</v>
      </c>
      <c r="C104" t="s">
        <v>18</v>
      </c>
      <c r="D104" t="s">
        <v>19</v>
      </c>
      <c r="E104" t="s">
        <v>20</v>
      </c>
      <c r="F104" t="s">
        <v>21</v>
      </c>
      <c r="G104" t="s">
        <v>22</v>
      </c>
      <c r="H104" t="s">
        <v>23</v>
      </c>
      <c r="I104" t="s">
        <v>24</v>
      </c>
      <c r="J104" t="s">
        <v>227</v>
      </c>
      <c r="K104" t="s">
        <v>228</v>
      </c>
      <c r="L104">
        <v>5</v>
      </c>
      <c r="M104">
        <v>5</v>
      </c>
      <c r="N104">
        <v>539043.75</v>
      </c>
      <c r="O104">
        <v>24</v>
      </c>
      <c r="P104" s="1">
        <f t="shared" si="2"/>
        <v>0.20833333333333334</v>
      </c>
      <c r="Q104" s="1">
        <f t="shared" si="3"/>
        <v>5.208333333333333</v>
      </c>
      <c r="R104" s="1"/>
    </row>
    <row r="105" spans="1:18" x14ac:dyDescent="0.25">
      <c r="A105">
        <v>103</v>
      </c>
      <c r="B105" t="s">
        <v>17</v>
      </c>
      <c r="C105" t="s">
        <v>18</v>
      </c>
      <c r="D105" t="s">
        <v>19</v>
      </c>
      <c r="E105" t="s">
        <v>20</v>
      </c>
      <c r="F105" t="s">
        <v>21</v>
      </c>
      <c r="G105" t="s">
        <v>22</v>
      </c>
      <c r="H105" t="s">
        <v>23</v>
      </c>
      <c r="I105" t="s">
        <v>24</v>
      </c>
      <c r="J105" t="s">
        <v>229</v>
      </c>
      <c r="K105" t="s">
        <v>230</v>
      </c>
      <c r="L105">
        <v>5</v>
      </c>
      <c r="M105">
        <v>0</v>
      </c>
      <c r="N105">
        <v>649716.30000000005</v>
      </c>
      <c r="O105">
        <v>4</v>
      </c>
      <c r="P105" s="1">
        <f t="shared" si="2"/>
        <v>0</v>
      </c>
      <c r="Q105" s="1">
        <f t="shared" si="3"/>
        <v>5</v>
      </c>
      <c r="R105" s="1"/>
    </row>
    <row r="106" spans="1:18" x14ac:dyDescent="0.25">
      <c r="A106">
        <v>104</v>
      </c>
      <c r="B106" t="s">
        <v>17</v>
      </c>
      <c r="C106" t="s">
        <v>18</v>
      </c>
      <c r="D106" t="s">
        <v>19</v>
      </c>
      <c r="E106" t="s">
        <v>20</v>
      </c>
      <c r="F106" t="s">
        <v>21</v>
      </c>
      <c r="G106" t="s">
        <v>22</v>
      </c>
      <c r="H106" t="s">
        <v>23</v>
      </c>
      <c r="I106" t="s">
        <v>24</v>
      </c>
      <c r="J106" t="s">
        <v>231</v>
      </c>
      <c r="K106" t="s">
        <v>232</v>
      </c>
      <c r="L106">
        <v>5</v>
      </c>
      <c r="M106">
        <v>6</v>
      </c>
      <c r="N106">
        <v>543356.1</v>
      </c>
      <c r="O106">
        <v>24</v>
      </c>
      <c r="P106" s="1">
        <f t="shared" si="2"/>
        <v>0.25</v>
      </c>
      <c r="Q106" s="1">
        <f t="shared" si="3"/>
        <v>5.25</v>
      </c>
      <c r="R106" s="1"/>
    </row>
    <row r="107" spans="1:18" x14ac:dyDescent="0.25">
      <c r="A107">
        <v>105</v>
      </c>
      <c r="B107" t="s">
        <v>17</v>
      </c>
      <c r="C107" t="s">
        <v>18</v>
      </c>
      <c r="D107" t="s">
        <v>19</v>
      </c>
      <c r="E107" t="s">
        <v>20</v>
      </c>
      <c r="F107" t="s">
        <v>21</v>
      </c>
      <c r="G107" t="s">
        <v>22</v>
      </c>
      <c r="H107" t="s">
        <v>23</v>
      </c>
      <c r="I107" t="s">
        <v>24</v>
      </c>
      <c r="J107" t="s">
        <v>233</v>
      </c>
      <c r="K107" t="s">
        <v>234</v>
      </c>
      <c r="L107">
        <v>3</v>
      </c>
      <c r="M107">
        <v>1</v>
      </c>
      <c r="N107">
        <v>1671181.59</v>
      </c>
      <c r="O107">
        <v>4</v>
      </c>
      <c r="P107" s="1">
        <f t="shared" si="2"/>
        <v>0.25</v>
      </c>
      <c r="Q107" s="1">
        <f t="shared" si="3"/>
        <v>3.25</v>
      </c>
      <c r="R107" s="1"/>
    </row>
    <row r="108" spans="1:18" x14ac:dyDescent="0.25">
      <c r="A108">
        <v>106</v>
      </c>
      <c r="B108" t="s">
        <v>17</v>
      </c>
      <c r="C108" t="s">
        <v>18</v>
      </c>
      <c r="D108" t="s">
        <v>19</v>
      </c>
      <c r="E108" t="s">
        <v>20</v>
      </c>
      <c r="F108" t="s">
        <v>21</v>
      </c>
      <c r="G108" t="s">
        <v>22</v>
      </c>
      <c r="H108" t="s">
        <v>23</v>
      </c>
      <c r="I108" t="s">
        <v>24</v>
      </c>
      <c r="J108" t="s">
        <v>235</v>
      </c>
      <c r="K108" t="s">
        <v>236</v>
      </c>
      <c r="L108">
        <v>3</v>
      </c>
      <c r="M108">
        <v>12</v>
      </c>
      <c r="N108">
        <v>1423075.5</v>
      </c>
      <c r="O108">
        <v>24</v>
      </c>
      <c r="P108" s="1">
        <f t="shared" si="2"/>
        <v>0.5</v>
      </c>
      <c r="Q108" s="1">
        <f t="shared" si="3"/>
        <v>3.5</v>
      </c>
      <c r="R108" s="1"/>
    </row>
    <row r="109" spans="1:18" x14ac:dyDescent="0.25">
      <c r="A109">
        <v>107</v>
      </c>
      <c r="B109" t="s">
        <v>17</v>
      </c>
      <c r="C109" t="s">
        <v>18</v>
      </c>
      <c r="D109" t="s">
        <v>19</v>
      </c>
      <c r="E109" t="s">
        <v>20</v>
      </c>
      <c r="F109" t="s">
        <v>21</v>
      </c>
      <c r="G109" t="s">
        <v>22</v>
      </c>
      <c r="H109" t="s">
        <v>23</v>
      </c>
      <c r="I109" t="s">
        <v>24</v>
      </c>
      <c r="J109" t="s">
        <v>237</v>
      </c>
      <c r="K109" t="s">
        <v>238</v>
      </c>
      <c r="L109">
        <v>20</v>
      </c>
      <c r="M109">
        <v>6</v>
      </c>
      <c r="N109">
        <v>6895447.6500000004</v>
      </c>
      <c r="O109">
        <v>12</v>
      </c>
      <c r="P109" s="1">
        <f t="shared" si="2"/>
        <v>0.5</v>
      </c>
      <c r="Q109" s="1">
        <f t="shared" si="3"/>
        <v>20.5</v>
      </c>
      <c r="R109" s="1"/>
    </row>
    <row r="110" spans="1:18" x14ac:dyDescent="0.25">
      <c r="A110">
        <v>108</v>
      </c>
      <c r="B110" t="s">
        <v>17</v>
      </c>
      <c r="C110" t="s">
        <v>18</v>
      </c>
      <c r="D110" t="s">
        <v>19</v>
      </c>
      <c r="E110" t="s">
        <v>20</v>
      </c>
      <c r="F110" t="s">
        <v>21</v>
      </c>
      <c r="G110" t="s">
        <v>22</v>
      </c>
      <c r="H110" t="s">
        <v>23</v>
      </c>
      <c r="I110" t="s">
        <v>24</v>
      </c>
      <c r="J110" t="s">
        <v>239</v>
      </c>
      <c r="K110" t="s">
        <v>240</v>
      </c>
      <c r="L110">
        <v>8</v>
      </c>
      <c r="M110">
        <v>3</v>
      </c>
      <c r="N110">
        <v>4499335.05</v>
      </c>
      <c r="O110">
        <v>4</v>
      </c>
      <c r="P110" s="1">
        <f t="shared" si="2"/>
        <v>0.75</v>
      </c>
      <c r="Q110" s="1">
        <f t="shared" si="3"/>
        <v>8.75</v>
      </c>
      <c r="R110" s="1"/>
    </row>
    <row r="111" spans="1:18" x14ac:dyDescent="0.25">
      <c r="A111">
        <v>109</v>
      </c>
      <c r="B111" t="s">
        <v>17</v>
      </c>
      <c r="C111" t="s">
        <v>18</v>
      </c>
      <c r="D111" t="s">
        <v>19</v>
      </c>
      <c r="E111" t="s">
        <v>20</v>
      </c>
      <c r="F111" t="s">
        <v>21</v>
      </c>
      <c r="G111" t="s">
        <v>22</v>
      </c>
      <c r="H111" t="s">
        <v>23</v>
      </c>
      <c r="I111" t="s">
        <v>24</v>
      </c>
      <c r="J111" t="s">
        <v>241</v>
      </c>
      <c r="K111" t="s">
        <v>242</v>
      </c>
      <c r="L111">
        <v>0</v>
      </c>
      <c r="M111">
        <v>2</v>
      </c>
      <c r="N111">
        <v>33882.75</v>
      </c>
      <c r="O111">
        <v>24</v>
      </c>
      <c r="P111" s="1">
        <f t="shared" si="2"/>
        <v>8.3333333333333329E-2</v>
      </c>
      <c r="Q111" s="1">
        <f t="shared" si="3"/>
        <v>8.3333333333333329E-2</v>
      </c>
      <c r="R111" s="1"/>
    </row>
    <row r="112" spans="1:18" x14ac:dyDescent="0.25">
      <c r="A112">
        <v>110</v>
      </c>
      <c r="B112" t="s">
        <v>17</v>
      </c>
      <c r="C112" t="s">
        <v>18</v>
      </c>
      <c r="D112" t="s">
        <v>19</v>
      </c>
      <c r="E112" t="s">
        <v>20</v>
      </c>
      <c r="F112" t="s">
        <v>21</v>
      </c>
      <c r="G112" t="s">
        <v>22</v>
      </c>
      <c r="H112" t="s">
        <v>23</v>
      </c>
      <c r="I112" t="s">
        <v>24</v>
      </c>
      <c r="J112" t="s">
        <v>243</v>
      </c>
      <c r="K112" t="s">
        <v>244</v>
      </c>
      <c r="L112">
        <v>5</v>
      </c>
      <c r="M112">
        <v>7</v>
      </c>
      <c r="N112">
        <v>1878028.43</v>
      </c>
      <c r="O112">
        <v>12</v>
      </c>
      <c r="P112" s="1">
        <f t="shared" si="2"/>
        <v>0.58333333333333337</v>
      </c>
      <c r="Q112" s="1">
        <f t="shared" si="3"/>
        <v>5.583333333333333</v>
      </c>
      <c r="R112" s="1"/>
    </row>
    <row r="113" spans="1:18" x14ac:dyDescent="0.25">
      <c r="A113">
        <v>111</v>
      </c>
      <c r="B113" t="s">
        <v>17</v>
      </c>
      <c r="C113" t="s">
        <v>18</v>
      </c>
      <c r="D113" t="s">
        <v>19</v>
      </c>
      <c r="E113" t="s">
        <v>20</v>
      </c>
      <c r="F113" t="s">
        <v>21</v>
      </c>
      <c r="G113" t="s">
        <v>22</v>
      </c>
      <c r="H113" t="s">
        <v>23</v>
      </c>
      <c r="I113" t="s">
        <v>24</v>
      </c>
      <c r="J113" t="s">
        <v>245</v>
      </c>
      <c r="K113" t="s">
        <v>246</v>
      </c>
      <c r="L113">
        <v>12</v>
      </c>
      <c r="M113">
        <v>1</v>
      </c>
      <c r="N113">
        <v>6299069.0700000003</v>
      </c>
      <c r="O113">
        <v>4</v>
      </c>
      <c r="P113" s="1">
        <f t="shared" si="2"/>
        <v>0.25</v>
      </c>
      <c r="Q113" s="1">
        <f t="shared" si="3"/>
        <v>12.25</v>
      </c>
      <c r="R113" s="1"/>
    </row>
    <row r="114" spans="1:18" x14ac:dyDescent="0.25">
      <c r="A114">
        <v>112</v>
      </c>
      <c r="B114" t="s">
        <v>17</v>
      </c>
      <c r="C114" t="s">
        <v>18</v>
      </c>
      <c r="D114" t="s">
        <v>19</v>
      </c>
      <c r="E114" t="s">
        <v>20</v>
      </c>
      <c r="F114" t="s">
        <v>21</v>
      </c>
      <c r="G114" t="s">
        <v>22</v>
      </c>
      <c r="H114" t="s">
        <v>23</v>
      </c>
      <c r="I114" t="s">
        <v>24</v>
      </c>
      <c r="J114" t="s">
        <v>247</v>
      </c>
      <c r="K114" t="s">
        <v>248</v>
      </c>
      <c r="L114">
        <v>6</v>
      </c>
      <c r="M114">
        <v>21</v>
      </c>
      <c r="N114">
        <v>2795326.88</v>
      </c>
      <c r="O114">
        <v>24</v>
      </c>
      <c r="P114" s="1">
        <f t="shared" si="2"/>
        <v>0.875</v>
      </c>
      <c r="Q114" s="1">
        <f t="shared" si="3"/>
        <v>6.875</v>
      </c>
      <c r="R114" s="1"/>
    </row>
    <row r="115" spans="1:18" x14ac:dyDescent="0.25">
      <c r="A115">
        <v>113</v>
      </c>
      <c r="B115" t="s">
        <v>17</v>
      </c>
      <c r="C115" t="s">
        <v>18</v>
      </c>
      <c r="D115" t="s">
        <v>19</v>
      </c>
      <c r="E115" t="s">
        <v>20</v>
      </c>
      <c r="F115" t="s">
        <v>21</v>
      </c>
      <c r="G115" t="s">
        <v>22</v>
      </c>
      <c r="H115" t="s">
        <v>23</v>
      </c>
      <c r="I115" t="s">
        <v>24</v>
      </c>
      <c r="J115" t="s">
        <v>249</v>
      </c>
      <c r="K115" t="s">
        <v>250</v>
      </c>
      <c r="L115">
        <v>4</v>
      </c>
      <c r="M115">
        <v>2</v>
      </c>
      <c r="N115">
        <v>1401513.75</v>
      </c>
      <c r="O115">
        <v>12</v>
      </c>
      <c r="P115" s="1">
        <f t="shared" si="2"/>
        <v>0.16666666666666666</v>
      </c>
      <c r="Q115" s="1">
        <f t="shared" si="3"/>
        <v>4.166666666666667</v>
      </c>
      <c r="R115" s="1"/>
    </row>
    <row r="116" spans="1:18" x14ac:dyDescent="0.25">
      <c r="A116">
        <v>114</v>
      </c>
      <c r="B116" t="s">
        <v>17</v>
      </c>
      <c r="C116" t="s">
        <v>18</v>
      </c>
      <c r="D116" t="s">
        <v>19</v>
      </c>
      <c r="E116" t="s">
        <v>20</v>
      </c>
      <c r="F116" t="s">
        <v>21</v>
      </c>
      <c r="G116" t="s">
        <v>22</v>
      </c>
      <c r="H116" t="s">
        <v>23</v>
      </c>
      <c r="I116" t="s">
        <v>24</v>
      </c>
      <c r="J116" t="s">
        <v>251</v>
      </c>
      <c r="K116" t="s">
        <v>252</v>
      </c>
      <c r="L116">
        <v>2</v>
      </c>
      <c r="M116">
        <v>0</v>
      </c>
      <c r="N116">
        <v>1028419.44</v>
      </c>
      <c r="O116">
        <v>4</v>
      </c>
      <c r="P116" s="1">
        <f t="shared" si="2"/>
        <v>0</v>
      </c>
      <c r="Q116" s="1">
        <f t="shared" si="3"/>
        <v>2</v>
      </c>
      <c r="R116" s="1"/>
    </row>
    <row r="117" spans="1:18" x14ac:dyDescent="0.25">
      <c r="A117">
        <v>115</v>
      </c>
      <c r="B117" t="s">
        <v>17</v>
      </c>
      <c r="C117" t="s">
        <v>18</v>
      </c>
      <c r="D117" t="s">
        <v>19</v>
      </c>
      <c r="E117" t="s">
        <v>20</v>
      </c>
      <c r="F117" t="s">
        <v>21</v>
      </c>
      <c r="G117" t="s">
        <v>22</v>
      </c>
      <c r="H117" t="s">
        <v>23</v>
      </c>
      <c r="I117" t="s">
        <v>24</v>
      </c>
      <c r="J117" t="s">
        <v>253</v>
      </c>
      <c r="K117" t="s">
        <v>254</v>
      </c>
      <c r="L117">
        <v>0</v>
      </c>
      <c r="M117">
        <v>1</v>
      </c>
      <c r="N117">
        <v>16941.38</v>
      </c>
      <c r="O117">
        <v>24</v>
      </c>
      <c r="P117" s="1">
        <f t="shared" si="2"/>
        <v>4.1666666666666664E-2</v>
      </c>
      <c r="Q117" s="1">
        <f t="shared" si="3"/>
        <v>4.1666666666666664E-2</v>
      </c>
      <c r="R117" s="1"/>
    </row>
    <row r="118" spans="1:18" x14ac:dyDescent="0.25">
      <c r="A118">
        <v>116</v>
      </c>
      <c r="B118" t="s">
        <v>17</v>
      </c>
      <c r="C118" t="s">
        <v>18</v>
      </c>
      <c r="D118" t="s">
        <v>19</v>
      </c>
      <c r="E118" t="s">
        <v>20</v>
      </c>
      <c r="F118" t="s">
        <v>21</v>
      </c>
      <c r="G118" t="s">
        <v>22</v>
      </c>
      <c r="H118" t="s">
        <v>23</v>
      </c>
      <c r="I118" t="s">
        <v>24</v>
      </c>
      <c r="J118" t="s">
        <v>255</v>
      </c>
      <c r="K118" t="s">
        <v>256</v>
      </c>
      <c r="L118">
        <v>0</v>
      </c>
      <c r="M118">
        <v>9</v>
      </c>
      <c r="N118">
        <v>252272.48</v>
      </c>
      <c r="O118">
        <v>12</v>
      </c>
      <c r="P118" s="1">
        <f t="shared" si="2"/>
        <v>0.75</v>
      </c>
      <c r="Q118" s="1">
        <f t="shared" si="3"/>
        <v>0.75</v>
      </c>
      <c r="R118" s="1"/>
    </row>
    <row r="119" spans="1:18" x14ac:dyDescent="0.25">
      <c r="A119">
        <v>117</v>
      </c>
      <c r="B119" t="s">
        <v>17</v>
      </c>
      <c r="C119" t="s">
        <v>18</v>
      </c>
      <c r="D119" t="s">
        <v>19</v>
      </c>
      <c r="E119" t="s">
        <v>20</v>
      </c>
      <c r="F119" t="s">
        <v>21</v>
      </c>
      <c r="G119" t="s">
        <v>22</v>
      </c>
      <c r="H119" t="s">
        <v>23</v>
      </c>
      <c r="I119" t="s">
        <v>24</v>
      </c>
      <c r="J119" t="s">
        <v>257</v>
      </c>
      <c r="K119" t="s">
        <v>258</v>
      </c>
      <c r="L119">
        <v>17</v>
      </c>
      <c r="M119">
        <v>3</v>
      </c>
      <c r="N119">
        <v>9127222.5299999993</v>
      </c>
      <c r="O119">
        <v>4</v>
      </c>
      <c r="P119" s="1">
        <f t="shared" si="2"/>
        <v>0.75</v>
      </c>
      <c r="Q119" s="1">
        <f t="shared" si="3"/>
        <v>17.75</v>
      </c>
      <c r="R119" s="1"/>
    </row>
    <row r="120" spans="1:18" x14ac:dyDescent="0.25">
      <c r="A120">
        <v>118</v>
      </c>
      <c r="B120" t="s">
        <v>17</v>
      </c>
      <c r="C120" t="s">
        <v>18</v>
      </c>
      <c r="D120" t="s">
        <v>19</v>
      </c>
      <c r="E120" t="s">
        <v>20</v>
      </c>
      <c r="F120" t="s">
        <v>21</v>
      </c>
      <c r="G120" t="s">
        <v>22</v>
      </c>
      <c r="H120" t="s">
        <v>23</v>
      </c>
      <c r="I120" t="s">
        <v>24</v>
      </c>
      <c r="J120" t="s">
        <v>259</v>
      </c>
      <c r="K120" t="s">
        <v>260</v>
      </c>
      <c r="L120">
        <v>5</v>
      </c>
      <c r="M120">
        <v>17</v>
      </c>
      <c r="N120">
        <v>2320968.38</v>
      </c>
      <c r="O120">
        <v>24</v>
      </c>
      <c r="P120" s="1">
        <f t="shared" si="2"/>
        <v>0.70833333333333337</v>
      </c>
      <c r="Q120" s="1">
        <f t="shared" si="3"/>
        <v>5.708333333333333</v>
      </c>
      <c r="R120" s="1"/>
    </row>
    <row r="121" spans="1:18" x14ac:dyDescent="0.25">
      <c r="A121">
        <v>119</v>
      </c>
      <c r="B121" t="s">
        <v>17</v>
      </c>
      <c r="C121" t="s">
        <v>18</v>
      </c>
      <c r="D121" t="s">
        <v>19</v>
      </c>
      <c r="E121" t="s">
        <v>20</v>
      </c>
      <c r="F121" t="s">
        <v>21</v>
      </c>
      <c r="G121" t="s">
        <v>22</v>
      </c>
      <c r="H121" t="s">
        <v>23</v>
      </c>
      <c r="I121" t="s">
        <v>24</v>
      </c>
      <c r="J121" t="s">
        <v>261</v>
      </c>
      <c r="K121" t="s">
        <v>262</v>
      </c>
      <c r="L121">
        <v>38</v>
      </c>
      <c r="M121">
        <v>0</v>
      </c>
      <c r="N121">
        <v>12781805.4</v>
      </c>
      <c r="O121">
        <v>12</v>
      </c>
      <c r="P121" s="1">
        <f t="shared" si="2"/>
        <v>0</v>
      </c>
      <c r="Q121" s="1">
        <f t="shared" si="3"/>
        <v>38</v>
      </c>
      <c r="R121" s="1"/>
    </row>
    <row r="122" spans="1:18" x14ac:dyDescent="0.25">
      <c r="A122">
        <v>120</v>
      </c>
      <c r="B122" t="s">
        <v>17</v>
      </c>
      <c r="C122" t="s">
        <v>18</v>
      </c>
      <c r="D122" t="s">
        <v>19</v>
      </c>
      <c r="E122" t="s">
        <v>20</v>
      </c>
      <c r="F122" t="s">
        <v>21</v>
      </c>
      <c r="G122" t="s">
        <v>22</v>
      </c>
      <c r="H122" t="s">
        <v>23</v>
      </c>
      <c r="I122" t="s">
        <v>24</v>
      </c>
      <c r="J122" t="s">
        <v>263</v>
      </c>
      <c r="K122" t="s">
        <v>264</v>
      </c>
      <c r="L122">
        <v>8</v>
      </c>
      <c r="M122">
        <v>20</v>
      </c>
      <c r="N122">
        <v>4222817.4000000004</v>
      </c>
      <c r="O122">
        <v>24</v>
      </c>
      <c r="P122" s="1">
        <f t="shared" si="2"/>
        <v>0.83333333333333337</v>
      </c>
      <c r="Q122" s="1">
        <f t="shared" si="3"/>
        <v>8.8333333333333339</v>
      </c>
      <c r="R122" s="1"/>
    </row>
    <row r="123" spans="1:18" x14ac:dyDescent="0.25">
      <c r="A123">
        <v>121</v>
      </c>
      <c r="B123" t="s">
        <v>17</v>
      </c>
      <c r="C123" t="s">
        <v>18</v>
      </c>
      <c r="D123" t="s">
        <v>19</v>
      </c>
      <c r="E123" t="s">
        <v>20</v>
      </c>
      <c r="F123" t="s">
        <v>21</v>
      </c>
      <c r="G123" t="s">
        <v>22</v>
      </c>
      <c r="H123" t="s">
        <v>23</v>
      </c>
      <c r="I123" t="s">
        <v>24</v>
      </c>
      <c r="J123" t="s">
        <v>265</v>
      </c>
      <c r="K123" t="s">
        <v>266</v>
      </c>
      <c r="L123">
        <v>4</v>
      </c>
      <c r="M123">
        <v>6</v>
      </c>
      <c r="N123">
        <v>2031732.9</v>
      </c>
      <c r="O123">
        <v>24</v>
      </c>
      <c r="P123" s="1">
        <f t="shared" si="2"/>
        <v>0.25</v>
      </c>
      <c r="Q123" s="1">
        <f t="shared" si="3"/>
        <v>4.25</v>
      </c>
      <c r="R123" s="1"/>
    </row>
    <row r="124" spans="1:18" x14ac:dyDescent="0.25">
      <c r="A124">
        <v>122</v>
      </c>
      <c r="B124" t="s">
        <v>17</v>
      </c>
      <c r="C124" t="s">
        <v>18</v>
      </c>
      <c r="D124" t="s">
        <v>19</v>
      </c>
      <c r="E124" t="s">
        <v>20</v>
      </c>
      <c r="F124" t="s">
        <v>21</v>
      </c>
      <c r="G124" t="s">
        <v>22</v>
      </c>
      <c r="H124" t="s">
        <v>23</v>
      </c>
      <c r="I124" t="s">
        <v>24</v>
      </c>
      <c r="J124" t="s">
        <v>267</v>
      </c>
      <c r="K124" t="s">
        <v>268</v>
      </c>
      <c r="L124">
        <v>3</v>
      </c>
      <c r="M124">
        <v>22</v>
      </c>
      <c r="N124">
        <v>1872381.3</v>
      </c>
      <c r="O124">
        <v>24</v>
      </c>
      <c r="P124" s="1">
        <f t="shared" si="2"/>
        <v>0.91666666666666663</v>
      </c>
      <c r="Q124" s="1">
        <f t="shared" si="3"/>
        <v>3.9166666666666665</v>
      </c>
      <c r="R124" s="1"/>
    </row>
    <row r="125" spans="1:18" x14ac:dyDescent="0.25">
      <c r="A125">
        <v>123</v>
      </c>
      <c r="B125" t="s">
        <v>17</v>
      </c>
      <c r="C125" t="s">
        <v>18</v>
      </c>
      <c r="D125" t="s">
        <v>19</v>
      </c>
      <c r="E125" t="s">
        <v>20</v>
      </c>
      <c r="F125" t="s">
        <v>21</v>
      </c>
      <c r="G125" t="s">
        <v>22</v>
      </c>
      <c r="H125" t="s">
        <v>23</v>
      </c>
      <c r="I125" t="s">
        <v>24</v>
      </c>
      <c r="J125" t="s">
        <v>269</v>
      </c>
      <c r="K125" t="s">
        <v>270</v>
      </c>
      <c r="L125">
        <v>4</v>
      </c>
      <c r="M125">
        <v>2</v>
      </c>
      <c r="N125">
        <v>1735207.5</v>
      </c>
      <c r="O125">
        <v>12</v>
      </c>
      <c r="P125" s="1">
        <f t="shared" si="2"/>
        <v>0.16666666666666666</v>
      </c>
      <c r="Q125" s="1">
        <f t="shared" si="3"/>
        <v>4.166666666666667</v>
      </c>
      <c r="R125" s="1"/>
    </row>
    <row r="126" spans="1:18" x14ac:dyDescent="0.25">
      <c r="A126">
        <v>124</v>
      </c>
      <c r="B126" t="s">
        <v>17</v>
      </c>
      <c r="C126" t="s">
        <v>18</v>
      </c>
      <c r="D126" t="s">
        <v>19</v>
      </c>
      <c r="E126" t="s">
        <v>20</v>
      </c>
      <c r="F126" t="s">
        <v>21</v>
      </c>
      <c r="G126" t="s">
        <v>22</v>
      </c>
      <c r="H126" t="s">
        <v>23</v>
      </c>
      <c r="I126" t="s">
        <v>24</v>
      </c>
      <c r="J126" t="s">
        <v>271</v>
      </c>
      <c r="K126" t="s">
        <v>272</v>
      </c>
      <c r="L126">
        <v>0</v>
      </c>
      <c r="M126">
        <v>0</v>
      </c>
      <c r="N126">
        <v>0</v>
      </c>
      <c r="O126">
        <v>12</v>
      </c>
      <c r="P126" s="1">
        <f t="shared" si="2"/>
        <v>0</v>
      </c>
      <c r="Q126" s="1">
        <f t="shared" si="3"/>
        <v>0</v>
      </c>
      <c r="R126" s="1"/>
    </row>
    <row r="127" spans="1:18" x14ac:dyDescent="0.25">
      <c r="A127">
        <v>125</v>
      </c>
      <c r="B127" t="s">
        <v>17</v>
      </c>
      <c r="C127" t="s">
        <v>18</v>
      </c>
      <c r="D127" t="s">
        <v>19</v>
      </c>
      <c r="E127" t="s">
        <v>20</v>
      </c>
      <c r="F127" t="s">
        <v>21</v>
      </c>
      <c r="G127" t="s">
        <v>22</v>
      </c>
      <c r="H127" t="s">
        <v>23</v>
      </c>
      <c r="I127" t="s">
        <v>24</v>
      </c>
      <c r="J127" t="s">
        <v>273</v>
      </c>
      <c r="K127" t="s">
        <v>274</v>
      </c>
      <c r="L127">
        <v>5</v>
      </c>
      <c r="M127">
        <v>3</v>
      </c>
      <c r="N127">
        <v>2186361.4500000002</v>
      </c>
      <c r="O127">
        <v>12</v>
      </c>
      <c r="P127" s="1">
        <f t="shared" si="2"/>
        <v>0.25</v>
      </c>
      <c r="Q127" s="1">
        <f t="shared" si="3"/>
        <v>5.25</v>
      </c>
      <c r="R127" s="1"/>
    </row>
    <row r="128" spans="1:18" x14ac:dyDescent="0.25">
      <c r="A128">
        <v>126</v>
      </c>
      <c r="B128" t="s">
        <v>17</v>
      </c>
      <c r="C128" t="s">
        <v>18</v>
      </c>
      <c r="D128" t="s">
        <v>19</v>
      </c>
      <c r="E128" t="s">
        <v>20</v>
      </c>
      <c r="F128" t="s">
        <v>21</v>
      </c>
      <c r="G128" t="s">
        <v>22</v>
      </c>
      <c r="H128" t="s">
        <v>23</v>
      </c>
      <c r="I128" t="s">
        <v>24</v>
      </c>
      <c r="J128" t="s">
        <v>275</v>
      </c>
      <c r="K128" t="s">
        <v>276</v>
      </c>
      <c r="L128">
        <v>1</v>
      </c>
      <c r="M128">
        <v>4</v>
      </c>
      <c r="N128">
        <v>561837.6</v>
      </c>
      <c r="O128">
        <v>12</v>
      </c>
      <c r="P128" s="1">
        <f t="shared" si="2"/>
        <v>0.33333333333333331</v>
      </c>
      <c r="Q128" s="1">
        <f t="shared" si="3"/>
        <v>1.3333333333333333</v>
      </c>
      <c r="R128" s="1"/>
    </row>
    <row r="129" spans="1:18" x14ac:dyDescent="0.25">
      <c r="A129">
        <v>127</v>
      </c>
      <c r="B129" t="s">
        <v>17</v>
      </c>
      <c r="C129" t="s">
        <v>18</v>
      </c>
      <c r="D129" t="s">
        <v>19</v>
      </c>
      <c r="E129" t="s">
        <v>20</v>
      </c>
      <c r="F129" t="s">
        <v>21</v>
      </c>
      <c r="G129" t="s">
        <v>22</v>
      </c>
      <c r="H129" t="s">
        <v>23</v>
      </c>
      <c r="I129" t="s">
        <v>24</v>
      </c>
      <c r="J129" t="s">
        <v>277</v>
      </c>
      <c r="K129" t="s">
        <v>278</v>
      </c>
      <c r="L129">
        <v>0</v>
      </c>
      <c r="M129">
        <v>1</v>
      </c>
      <c r="N129">
        <v>27927.599999999999</v>
      </c>
      <c r="O129">
        <v>12</v>
      </c>
      <c r="P129" s="1">
        <f t="shared" si="2"/>
        <v>8.3333333333333329E-2</v>
      </c>
      <c r="Q129" s="1">
        <f t="shared" si="3"/>
        <v>8.3333333333333329E-2</v>
      </c>
      <c r="R129" s="1"/>
    </row>
    <row r="130" spans="1:18" x14ac:dyDescent="0.25">
      <c r="A130">
        <v>128</v>
      </c>
      <c r="B130" t="s">
        <v>17</v>
      </c>
      <c r="C130" t="s">
        <v>18</v>
      </c>
      <c r="D130" t="s">
        <v>19</v>
      </c>
      <c r="E130" t="s">
        <v>20</v>
      </c>
      <c r="F130" t="s">
        <v>21</v>
      </c>
      <c r="G130" t="s">
        <v>22</v>
      </c>
      <c r="H130" t="s">
        <v>23</v>
      </c>
      <c r="I130" t="s">
        <v>24</v>
      </c>
      <c r="J130" t="s">
        <v>279</v>
      </c>
      <c r="K130" t="s">
        <v>280</v>
      </c>
      <c r="L130">
        <v>0</v>
      </c>
      <c r="M130">
        <v>0</v>
      </c>
      <c r="N130">
        <v>0</v>
      </c>
      <c r="O130">
        <v>4</v>
      </c>
      <c r="P130" s="1">
        <f t="shared" si="2"/>
        <v>0</v>
      </c>
      <c r="Q130" s="1">
        <f t="shared" si="3"/>
        <v>0</v>
      </c>
      <c r="R130" s="1"/>
    </row>
    <row r="131" spans="1:18" x14ac:dyDescent="0.25">
      <c r="A131">
        <v>129</v>
      </c>
      <c r="B131" t="s">
        <v>17</v>
      </c>
      <c r="C131" t="s">
        <v>18</v>
      </c>
      <c r="D131" t="s">
        <v>19</v>
      </c>
      <c r="E131" t="s">
        <v>20</v>
      </c>
      <c r="F131" t="s">
        <v>21</v>
      </c>
      <c r="G131" t="s">
        <v>22</v>
      </c>
      <c r="H131" t="s">
        <v>23</v>
      </c>
      <c r="I131" t="s">
        <v>24</v>
      </c>
      <c r="J131" t="s">
        <v>281</v>
      </c>
      <c r="K131" t="s">
        <v>282</v>
      </c>
      <c r="L131">
        <v>3</v>
      </c>
      <c r="M131">
        <v>17</v>
      </c>
      <c r="N131">
        <v>338102.1</v>
      </c>
      <c r="O131">
        <v>24</v>
      </c>
      <c r="P131" s="1">
        <f t="shared" si="2"/>
        <v>0.70833333333333337</v>
      </c>
      <c r="Q131" s="1">
        <f t="shared" si="3"/>
        <v>3.7083333333333335</v>
      </c>
      <c r="R131" s="1"/>
    </row>
    <row r="132" spans="1:18" x14ac:dyDescent="0.25">
      <c r="A132">
        <v>130</v>
      </c>
      <c r="B132" t="s">
        <v>17</v>
      </c>
      <c r="C132" t="s">
        <v>18</v>
      </c>
      <c r="D132" t="s">
        <v>19</v>
      </c>
      <c r="E132" t="s">
        <v>20</v>
      </c>
      <c r="F132" t="s">
        <v>21</v>
      </c>
      <c r="G132" t="s">
        <v>22</v>
      </c>
      <c r="H132" t="s">
        <v>23</v>
      </c>
      <c r="I132" t="s">
        <v>24</v>
      </c>
      <c r="J132" t="s">
        <v>283</v>
      </c>
      <c r="K132" t="s">
        <v>284</v>
      </c>
      <c r="L132">
        <v>3</v>
      </c>
      <c r="M132">
        <v>0</v>
      </c>
      <c r="N132">
        <v>491607.72</v>
      </c>
      <c r="O132">
        <v>12</v>
      </c>
      <c r="P132" s="1">
        <f t="shared" ref="P132:P193" si="4">M132/O132</f>
        <v>0</v>
      </c>
      <c r="Q132" s="1">
        <f t="shared" ref="Q132:Q193" si="5">L132+P132</f>
        <v>3</v>
      </c>
      <c r="R132" s="1"/>
    </row>
    <row r="133" spans="1:18" x14ac:dyDescent="0.25">
      <c r="A133">
        <v>131</v>
      </c>
      <c r="B133" t="s">
        <v>17</v>
      </c>
      <c r="C133" t="s">
        <v>18</v>
      </c>
      <c r="D133" t="s">
        <v>19</v>
      </c>
      <c r="E133" t="s">
        <v>20</v>
      </c>
      <c r="F133" t="s">
        <v>21</v>
      </c>
      <c r="G133" t="s">
        <v>22</v>
      </c>
      <c r="H133" t="s">
        <v>23</v>
      </c>
      <c r="I133" t="s">
        <v>24</v>
      </c>
      <c r="J133" t="s">
        <v>285</v>
      </c>
      <c r="K133" t="s">
        <v>286</v>
      </c>
      <c r="L133">
        <v>0</v>
      </c>
      <c r="M133">
        <v>9</v>
      </c>
      <c r="N133">
        <v>133066.79999999999</v>
      </c>
      <c r="O133">
        <v>12</v>
      </c>
      <c r="P133" s="1">
        <f t="shared" si="4"/>
        <v>0.75</v>
      </c>
      <c r="Q133" s="1">
        <f t="shared" si="5"/>
        <v>0.75</v>
      </c>
      <c r="R133" s="1"/>
    </row>
    <row r="134" spans="1:18" x14ac:dyDescent="0.25">
      <c r="A134">
        <v>132</v>
      </c>
      <c r="B134" t="s">
        <v>17</v>
      </c>
      <c r="C134" t="s">
        <v>18</v>
      </c>
      <c r="D134" t="s">
        <v>19</v>
      </c>
      <c r="E134" t="s">
        <v>20</v>
      </c>
      <c r="F134" t="s">
        <v>21</v>
      </c>
      <c r="G134" t="s">
        <v>22</v>
      </c>
      <c r="H134" t="s">
        <v>23</v>
      </c>
      <c r="I134" t="s">
        <v>24</v>
      </c>
      <c r="J134" t="s">
        <v>287</v>
      </c>
      <c r="K134" t="s">
        <v>288</v>
      </c>
      <c r="L134">
        <v>2</v>
      </c>
      <c r="M134">
        <v>9</v>
      </c>
      <c r="N134">
        <v>450640.41</v>
      </c>
      <c r="O134">
        <v>12</v>
      </c>
      <c r="P134" s="1">
        <f t="shared" si="4"/>
        <v>0.75</v>
      </c>
      <c r="Q134" s="1">
        <f t="shared" si="5"/>
        <v>2.75</v>
      </c>
      <c r="R134" s="1"/>
    </row>
    <row r="135" spans="1:18" x14ac:dyDescent="0.25">
      <c r="A135">
        <v>133</v>
      </c>
      <c r="B135" t="s">
        <v>17</v>
      </c>
      <c r="C135" t="s">
        <v>18</v>
      </c>
      <c r="D135" t="s">
        <v>19</v>
      </c>
      <c r="E135" t="s">
        <v>20</v>
      </c>
      <c r="F135" t="s">
        <v>21</v>
      </c>
      <c r="G135" t="s">
        <v>22</v>
      </c>
      <c r="H135" t="s">
        <v>23</v>
      </c>
      <c r="I135" t="s">
        <v>24</v>
      </c>
      <c r="J135" t="s">
        <v>289</v>
      </c>
      <c r="K135" t="s">
        <v>290</v>
      </c>
      <c r="L135">
        <v>1</v>
      </c>
      <c r="M135">
        <v>5</v>
      </c>
      <c r="N135">
        <v>474769.2</v>
      </c>
      <c r="O135">
        <v>12</v>
      </c>
      <c r="P135" s="1">
        <f t="shared" si="4"/>
        <v>0.41666666666666669</v>
      </c>
      <c r="Q135" s="1">
        <f t="shared" si="5"/>
        <v>1.4166666666666667</v>
      </c>
      <c r="R135" s="1"/>
    </row>
    <row r="136" spans="1:18" x14ac:dyDescent="0.25">
      <c r="A136">
        <v>134</v>
      </c>
      <c r="B136" t="s">
        <v>17</v>
      </c>
      <c r="C136" t="s">
        <v>18</v>
      </c>
      <c r="D136" t="s">
        <v>19</v>
      </c>
      <c r="E136" t="s">
        <v>20</v>
      </c>
      <c r="F136" t="s">
        <v>21</v>
      </c>
      <c r="G136" t="s">
        <v>22</v>
      </c>
      <c r="H136" t="s">
        <v>23</v>
      </c>
      <c r="I136" t="s">
        <v>24</v>
      </c>
      <c r="J136" t="s">
        <v>291</v>
      </c>
      <c r="K136" t="s">
        <v>292</v>
      </c>
      <c r="L136">
        <v>7</v>
      </c>
      <c r="M136">
        <v>3</v>
      </c>
      <c r="N136">
        <v>2066475.5</v>
      </c>
      <c r="O136">
        <v>4</v>
      </c>
      <c r="P136" s="1">
        <f t="shared" si="4"/>
        <v>0.75</v>
      </c>
      <c r="Q136" s="1">
        <f t="shared" si="5"/>
        <v>7.75</v>
      </c>
      <c r="R136" s="1"/>
    </row>
    <row r="137" spans="1:18" x14ac:dyDescent="0.25">
      <c r="A137">
        <v>135</v>
      </c>
      <c r="B137" t="s">
        <v>17</v>
      </c>
      <c r="C137" t="s">
        <v>18</v>
      </c>
      <c r="D137" t="s">
        <v>19</v>
      </c>
      <c r="E137" t="s">
        <v>20</v>
      </c>
      <c r="F137" t="s">
        <v>21</v>
      </c>
      <c r="G137" t="s">
        <v>22</v>
      </c>
      <c r="H137" t="s">
        <v>23</v>
      </c>
      <c r="I137" t="s">
        <v>24</v>
      </c>
      <c r="J137" t="s">
        <v>293</v>
      </c>
      <c r="K137" t="s">
        <v>294</v>
      </c>
      <c r="L137">
        <v>0</v>
      </c>
      <c r="M137">
        <v>18</v>
      </c>
      <c r="N137">
        <v>73926</v>
      </c>
      <c r="O137">
        <v>24</v>
      </c>
      <c r="P137" s="1">
        <f t="shared" si="4"/>
        <v>0.75</v>
      </c>
      <c r="Q137" s="1">
        <f t="shared" si="5"/>
        <v>0.75</v>
      </c>
      <c r="R137" s="1"/>
    </row>
    <row r="138" spans="1:18" x14ac:dyDescent="0.25">
      <c r="A138">
        <v>136</v>
      </c>
      <c r="B138" t="s">
        <v>17</v>
      </c>
      <c r="C138" t="s">
        <v>18</v>
      </c>
      <c r="D138" t="s">
        <v>19</v>
      </c>
      <c r="E138" t="s">
        <v>20</v>
      </c>
      <c r="F138" t="s">
        <v>21</v>
      </c>
      <c r="G138" t="s">
        <v>22</v>
      </c>
      <c r="H138" t="s">
        <v>23</v>
      </c>
      <c r="I138" t="s">
        <v>24</v>
      </c>
      <c r="J138" t="s">
        <v>295</v>
      </c>
      <c r="K138" t="s">
        <v>296</v>
      </c>
      <c r="L138">
        <v>5</v>
      </c>
      <c r="M138">
        <v>3</v>
      </c>
      <c r="N138">
        <v>931467.6</v>
      </c>
      <c r="O138">
        <v>12</v>
      </c>
      <c r="P138" s="1">
        <f t="shared" si="4"/>
        <v>0.25</v>
      </c>
      <c r="Q138" s="1">
        <f t="shared" si="5"/>
        <v>5.25</v>
      </c>
      <c r="R138" s="1"/>
    </row>
    <row r="139" spans="1:18" x14ac:dyDescent="0.25">
      <c r="A139">
        <v>137</v>
      </c>
      <c r="B139" t="s">
        <v>17</v>
      </c>
      <c r="C139" t="s">
        <v>18</v>
      </c>
      <c r="D139" t="s">
        <v>19</v>
      </c>
      <c r="E139" t="s">
        <v>20</v>
      </c>
      <c r="F139" t="s">
        <v>21</v>
      </c>
      <c r="G139" t="s">
        <v>22</v>
      </c>
      <c r="H139" t="s">
        <v>23</v>
      </c>
      <c r="I139" t="s">
        <v>24</v>
      </c>
      <c r="J139" t="s">
        <v>297</v>
      </c>
      <c r="K139" t="s">
        <v>298</v>
      </c>
      <c r="L139">
        <v>0</v>
      </c>
      <c r="M139">
        <v>8</v>
      </c>
      <c r="N139">
        <v>109246.16</v>
      </c>
      <c r="O139">
        <v>12</v>
      </c>
      <c r="P139" s="1">
        <f t="shared" si="4"/>
        <v>0.66666666666666663</v>
      </c>
      <c r="Q139" s="1">
        <f t="shared" si="5"/>
        <v>0.66666666666666663</v>
      </c>
      <c r="R139" s="1"/>
    </row>
    <row r="140" spans="1:18" x14ac:dyDescent="0.25">
      <c r="A140">
        <v>138</v>
      </c>
      <c r="B140" t="s">
        <v>17</v>
      </c>
      <c r="C140" t="s">
        <v>18</v>
      </c>
      <c r="D140" t="s">
        <v>19</v>
      </c>
      <c r="E140" t="s">
        <v>20</v>
      </c>
      <c r="F140" t="s">
        <v>21</v>
      </c>
      <c r="G140" t="s">
        <v>22</v>
      </c>
      <c r="H140" t="s">
        <v>23</v>
      </c>
      <c r="I140" t="s">
        <v>24</v>
      </c>
      <c r="J140" t="s">
        <v>299</v>
      </c>
      <c r="K140" t="s">
        <v>300</v>
      </c>
      <c r="L140">
        <v>2</v>
      </c>
      <c r="M140">
        <v>9</v>
      </c>
      <c r="N140">
        <v>921610.8</v>
      </c>
      <c r="O140">
        <v>12</v>
      </c>
      <c r="P140" s="1">
        <f t="shared" si="4"/>
        <v>0.75</v>
      </c>
      <c r="Q140" s="1">
        <f t="shared" si="5"/>
        <v>2.75</v>
      </c>
      <c r="R140" s="1"/>
    </row>
    <row r="141" spans="1:18" x14ac:dyDescent="0.25">
      <c r="A141">
        <v>139</v>
      </c>
      <c r="B141" t="s">
        <v>17</v>
      </c>
      <c r="C141" t="s">
        <v>18</v>
      </c>
      <c r="D141" t="s">
        <v>19</v>
      </c>
      <c r="E141" t="s">
        <v>20</v>
      </c>
      <c r="F141" t="s">
        <v>21</v>
      </c>
      <c r="G141" t="s">
        <v>22</v>
      </c>
      <c r="H141" t="s">
        <v>23</v>
      </c>
      <c r="I141" t="s">
        <v>24</v>
      </c>
      <c r="J141" t="s">
        <v>301</v>
      </c>
      <c r="K141" t="s">
        <v>302</v>
      </c>
      <c r="L141">
        <v>5</v>
      </c>
      <c r="M141">
        <v>0</v>
      </c>
      <c r="N141">
        <v>1333210</v>
      </c>
      <c r="O141">
        <v>4</v>
      </c>
      <c r="P141" s="1">
        <f t="shared" si="4"/>
        <v>0</v>
      </c>
      <c r="Q141" s="1">
        <f t="shared" si="5"/>
        <v>5</v>
      </c>
      <c r="R141" s="1"/>
    </row>
    <row r="142" spans="1:18" x14ac:dyDescent="0.25">
      <c r="A142">
        <v>140</v>
      </c>
      <c r="B142" t="s">
        <v>17</v>
      </c>
      <c r="C142" t="s">
        <v>18</v>
      </c>
      <c r="D142" t="s">
        <v>19</v>
      </c>
      <c r="E142" t="s">
        <v>20</v>
      </c>
      <c r="F142" t="s">
        <v>21</v>
      </c>
      <c r="G142" t="s">
        <v>22</v>
      </c>
      <c r="H142" t="s">
        <v>23</v>
      </c>
      <c r="I142" t="s">
        <v>24</v>
      </c>
      <c r="J142" t="s">
        <v>303</v>
      </c>
      <c r="K142" t="s">
        <v>304</v>
      </c>
      <c r="L142">
        <v>1</v>
      </c>
      <c r="M142">
        <v>2</v>
      </c>
      <c r="N142">
        <v>106782</v>
      </c>
      <c r="O142">
        <v>24</v>
      </c>
      <c r="P142" s="1">
        <f t="shared" si="4"/>
        <v>8.3333333333333329E-2</v>
      </c>
      <c r="Q142" s="1">
        <f t="shared" si="5"/>
        <v>1.0833333333333333</v>
      </c>
      <c r="R142" s="1"/>
    </row>
    <row r="143" spans="1:18" x14ac:dyDescent="0.25">
      <c r="A143">
        <v>141</v>
      </c>
      <c r="B143" t="s">
        <v>17</v>
      </c>
      <c r="C143" t="s">
        <v>18</v>
      </c>
      <c r="D143" t="s">
        <v>19</v>
      </c>
      <c r="E143" t="s">
        <v>20</v>
      </c>
      <c r="F143" t="s">
        <v>21</v>
      </c>
      <c r="G143" t="s">
        <v>22</v>
      </c>
      <c r="H143" t="s">
        <v>23</v>
      </c>
      <c r="I143" t="s">
        <v>24</v>
      </c>
      <c r="J143" t="s">
        <v>305</v>
      </c>
      <c r="K143" t="s">
        <v>306</v>
      </c>
      <c r="L143">
        <v>16</v>
      </c>
      <c r="M143">
        <v>9</v>
      </c>
      <c r="N143">
        <v>2971825.2</v>
      </c>
      <c r="O143">
        <v>12</v>
      </c>
      <c r="P143" s="1">
        <f t="shared" si="4"/>
        <v>0.75</v>
      </c>
      <c r="Q143" s="1">
        <f t="shared" si="5"/>
        <v>16.75</v>
      </c>
      <c r="R143" s="1"/>
    </row>
    <row r="144" spans="1:18" x14ac:dyDescent="0.25">
      <c r="A144">
        <v>142</v>
      </c>
      <c r="B144" t="s">
        <v>17</v>
      </c>
      <c r="C144" t="s">
        <v>18</v>
      </c>
      <c r="D144" t="s">
        <v>19</v>
      </c>
      <c r="E144" t="s">
        <v>20</v>
      </c>
      <c r="F144" t="s">
        <v>21</v>
      </c>
      <c r="G144" t="s">
        <v>22</v>
      </c>
      <c r="H144" t="s">
        <v>23</v>
      </c>
      <c r="I144" t="s">
        <v>24</v>
      </c>
      <c r="J144" t="s">
        <v>307</v>
      </c>
      <c r="K144" t="s">
        <v>308</v>
      </c>
      <c r="L144">
        <v>3</v>
      </c>
      <c r="M144">
        <v>18</v>
      </c>
      <c r="N144">
        <v>2541206.7000000002</v>
      </c>
      <c r="O144">
        <v>24</v>
      </c>
      <c r="P144" s="1">
        <f t="shared" si="4"/>
        <v>0.75</v>
      </c>
      <c r="Q144" s="1">
        <f t="shared" si="5"/>
        <v>3.75</v>
      </c>
      <c r="R144" s="1"/>
    </row>
    <row r="145" spans="1:18" x14ac:dyDescent="0.25">
      <c r="A145">
        <v>143</v>
      </c>
      <c r="B145" t="s">
        <v>17</v>
      </c>
      <c r="C145" t="s">
        <v>18</v>
      </c>
      <c r="D145" t="s">
        <v>19</v>
      </c>
      <c r="E145" t="s">
        <v>20</v>
      </c>
      <c r="F145" t="s">
        <v>21</v>
      </c>
      <c r="G145" t="s">
        <v>22</v>
      </c>
      <c r="H145" t="s">
        <v>23</v>
      </c>
      <c r="I145" t="s">
        <v>24</v>
      </c>
      <c r="J145" t="s">
        <v>309</v>
      </c>
      <c r="K145" t="s">
        <v>310</v>
      </c>
      <c r="L145">
        <v>8</v>
      </c>
      <c r="M145">
        <v>3</v>
      </c>
      <c r="N145">
        <v>1046976.98</v>
      </c>
      <c r="O145">
        <v>12</v>
      </c>
      <c r="P145" s="1">
        <f t="shared" si="4"/>
        <v>0.25</v>
      </c>
      <c r="Q145" s="1">
        <f t="shared" si="5"/>
        <v>8.25</v>
      </c>
      <c r="R145" s="1"/>
    </row>
    <row r="146" spans="1:18" x14ac:dyDescent="0.25">
      <c r="A146">
        <v>144</v>
      </c>
      <c r="B146" t="s">
        <v>17</v>
      </c>
      <c r="C146" t="s">
        <v>18</v>
      </c>
      <c r="D146" t="s">
        <v>19</v>
      </c>
      <c r="E146" t="s">
        <v>20</v>
      </c>
      <c r="F146" t="s">
        <v>21</v>
      </c>
      <c r="G146" t="s">
        <v>22</v>
      </c>
      <c r="H146" t="s">
        <v>23</v>
      </c>
      <c r="I146" t="s">
        <v>24</v>
      </c>
      <c r="J146" t="s">
        <v>311</v>
      </c>
      <c r="K146" t="s">
        <v>312</v>
      </c>
      <c r="L146">
        <v>2</v>
      </c>
      <c r="M146">
        <v>3</v>
      </c>
      <c r="N146">
        <v>501772.73</v>
      </c>
      <c r="O146">
        <v>12</v>
      </c>
      <c r="P146" s="1">
        <f t="shared" si="4"/>
        <v>0.25</v>
      </c>
      <c r="Q146" s="1">
        <f t="shared" si="5"/>
        <v>2.25</v>
      </c>
      <c r="R146" s="1"/>
    </row>
    <row r="147" spans="1:18" x14ac:dyDescent="0.25">
      <c r="A147">
        <v>145</v>
      </c>
      <c r="B147" t="s">
        <v>17</v>
      </c>
      <c r="C147" t="s">
        <v>18</v>
      </c>
      <c r="D147" t="s">
        <v>19</v>
      </c>
      <c r="E147" t="s">
        <v>20</v>
      </c>
      <c r="F147" t="s">
        <v>21</v>
      </c>
      <c r="G147" t="s">
        <v>22</v>
      </c>
      <c r="H147" t="s">
        <v>23</v>
      </c>
      <c r="I147" t="s">
        <v>24</v>
      </c>
      <c r="J147" t="s">
        <v>313</v>
      </c>
      <c r="K147" t="s">
        <v>314</v>
      </c>
      <c r="L147">
        <v>2</v>
      </c>
      <c r="M147">
        <v>2</v>
      </c>
      <c r="N147">
        <v>584148.6</v>
      </c>
      <c r="O147">
        <v>4</v>
      </c>
      <c r="P147" s="1">
        <f t="shared" si="4"/>
        <v>0.5</v>
      </c>
      <c r="Q147" s="1">
        <f t="shared" si="5"/>
        <v>2.5</v>
      </c>
      <c r="R147" s="1"/>
    </row>
    <row r="148" spans="1:18" x14ac:dyDescent="0.25">
      <c r="A148">
        <v>146</v>
      </c>
      <c r="B148" t="s">
        <v>17</v>
      </c>
      <c r="C148" t="s">
        <v>18</v>
      </c>
      <c r="D148" t="s">
        <v>19</v>
      </c>
      <c r="E148" t="s">
        <v>20</v>
      </c>
      <c r="F148" t="s">
        <v>21</v>
      </c>
      <c r="G148" t="s">
        <v>22</v>
      </c>
      <c r="H148" t="s">
        <v>23</v>
      </c>
      <c r="I148" t="s">
        <v>24</v>
      </c>
      <c r="J148" t="s">
        <v>315</v>
      </c>
      <c r="K148" t="s">
        <v>316</v>
      </c>
      <c r="L148">
        <v>0</v>
      </c>
      <c r="M148">
        <v>4</v>
      </c>
      <c r="N148">
        <v>203296.6</v>
      </c>
      <c r="O148">
        <v>6</v>
      </c>
      <c r="P148" s="1">
        <f t="shared" si="4"/>
        <v>0.66666666666666663</v>
      </c>
      <c r="Q148" s="1">
        <f t="shared" si="5"/>
        <v>0.66666666666666663</v>
      </c>
      <c r="R148" s="1"/>
    </row>
    <row r="149" spans="1:18" x14ac:dyDescent="0.25">
      <c r="A149">
        <v>147</v>
      </c>
      <c r="B149" t="s">
        <v>17</v>
      </c>
      <c r="C149" t="s">
        <v>18</v>
      </c>
      <c r="D149" t="s">
        <v>19</v>
      </c>
      <c r="E149" t="s">
        <v>20</v>
      </c>
      <c r="F149" t="s">
        <v>21</v>
      </c>
      <c r="G149" t="s">
        <v>22</v>
      </c>
      <c r="H149" t="s">
        <v>23</v>
      </c>
      <c r="I149" t="s">
        <v>24</v>
      </c>
      <c r="J149" t="s">
        <v>317</v>
      </c>
      <c r="K149" t="s">
        <v>318</v>
      </c>
      <c r="L149">
        <v>2</v>
      </c>
      <c r="M149">
        <v>3</v>
      </c>
      <c r="N149">
        <v>591716.03</v>
      </c>
      <c r="O149">
        <v>24</v>
      </c>
      <c r="P149" s="1">
        <f t="shared" si="4"/>
        <v>0.125</v>
      </c>
      <c r="Q149" s="1">
        <f t="shared" si="5"/>
        <v>2.125</v>
      </c>
      <c r="R149" s="1"/>
    </row>
    <row r="150" spans="1:18" x14ac:dyDescent="0.25">
      <c r="A150">
        <v>148</v>
      </c>
      <c r="B150" t="s">
        <v>17</v>
      </c>
      <c r="C150" t="s">
        <v>18</v>
      </c>
      <c r="D150" t="s">
        <v>19</v>
      </c>
      <c r="E150" t="s">
        <v>20</v>
      </c>
      <c r="F150" t="s">
        <v>21</v>
      </c>
      <c r="G150" t="s">
        <v>22</v>
      </c>
      <c r="H150" t="s">
        <v>23</v>
      </c>
      <c r="I150" t="s">
        <v>24</v>
      </c>
      <c r="J150" t="s">
        <v>319</v>
      </c>
      <c r="K150" t="s">
        <v>320</v>
      </c>
      <c r="L150">
        <v>6</v>
      </c>
      <c r="M150">
        <v>5</v>
      </c>
      <c r="N150">
        <v>2294272.88</v>
      </c>
      <c r="O150">
        <v>6</v>
      </c>
      <c r="P150" s="1">
        <f t="shared" si="4"/>
        <v>0.83333333333333337</v>
      </c>
      <c r="Q150" s="1">
        <f t="shared" si="5"/>
        <v>6.833333333333333</v>
      </c>
      <c r="R150" s="1"/>
    </row>
    <row r="151" spans="1:18" x14ac:dyDescent="0.25">
      <c r="A151">
        <v>149</v>
      </c>
      <c r="B151" t="s">
        <v>17</v>
      </c>
      <c r="C151" t="s">
        <v>18</v>
      </c>
      <c r="D151" t="s">
        <v>19</v>
      </c>
      <c r="E151" t="s">
        <v>20</v>
      </c>
      <c r="F151" t="s">
        <v>21</v>
      </c>
      <c r="G151" t="s">
        <v>22</v>
      </c>
      <c r="H151" t="s">
        <v>23</v>
      </c>
      <c r="I151" t="s">
        <v>24</v>
      </c>
      <c r="J151" t="s">
        <v>321</v>
      </c>
      <c r="K151" t="s">
        <v>322</v>
      </c>
      <c r="L151">
        <v>37</v>
      </c>
      <c r="M151">
        <v>7</v>
      </c>
      <c r="N151">
        <v>8011011.5300000003</v>
      </c>
      <c r="O151">
        <v>12</v>
      </c>
      <c r="P151" s="1">
        <f t="shared" si="4"/>
        <v>0.58333333333333337</v>
      </c>
      <c r="Q151" s="1">
        <f t="shared" si="5"/>
        <v>37.583333333333336</v>
      </c>
      <c r="R151" s="1"/>
    </row>
    <row r="152" spans="1:18" x14ac:dyDescent="0.25">
      <c r="A152">
        <v>150</v>
      </c>
      <c r="B152" t="s">
        <v>17</v>
      </c>
      <c r="C152" t="s">
        <v>18</v>
      </c>
      <c r="D152" t="s">
        <v>19</v>
      </c>
      <c r="E152" t="s">
        <v>20</v>
      </c>
      <c r="F152" t="s">
        <v>21</v>
      </c>
      <c r="G152" t="s">
        <v>22</v>
      </c>
      <c r="H152" t="s">
        <v>23</v>
      </c>
      <c r="I152" t="s">
        <v>24</v>
      </c>
      <c r="J152" t="s">
        <v>323</v>
      </c>
      <c r="K152" t="s">
        <v>324</v>
      </c>
      <c r="L152">
        <v>38</v>
      </c>
      <c r="M152">
        <v>3</v>
      </c>
      <c r="N152">
        <v>6786406.7999999998</v>
      </c>
      <c r="O152">
        <v>12</v>
      </c>
      <c r="P152" s="1">
        <f t="shared" si="4"/>
        <v>0.25</v>
      </c>
      <c r="Q152" s="1">
        <f t="shared" si="5"/>
        <v>38.25</v>
      </c>
      <c r="R152" s="1"/>
    </row>
    <row r="153" spans="1:18" x14ac:dyDescent="0.25">
      <c r="A153">
        <v>151</v>
      </c>
      <c r="B153" t="s">
        <v>17</v>
      </c>
      <c r="C153" t="s">
        <v>18</v>
      </c>
      <c r="D153" t="s">
        <v>19</v>
      </c>
      <c r="E153" t="s">
        <v>20</v>
      </c>
      <c r="F153" t="s">
        <v>21</v>
      </c>
      <c r="G153" t="s">
        <v>22</v>
      </c>
      <c r="H153" t="s">
        <v>23</v>
      </c>
      <c r="I153" t="s">
        <v>24</v>
      </c>
      <c r="J153" t="s">
        <v>325</v>
      </c>
      <c r="K153" t="s">
        <v>326</v>
      </c>
      <c r="L153">
        <v>98</v>
      </c>
      <c r="M153">
        <v>4</v>
      </c>
      <c r="N153">
        <v>17446536</v>
      </c>
      <c r="O153">
        <v>12</v>
      </c>
      <c r="P153" s="1">
        <f t="shared" si="4"/>
        <v>0.33333333333333331</v>
      </c>
      <c r="Q153" s="1">
        <f t="shared" si="5"/>
        <v>98.333333333333329</v>
      </c>
      <c r="R153" s="1"/>
    </row>
    <row r="154" spans="1:18" x14ac:dyDescent="0.25">
      <c r="A154">
        <v>152</v>
      </c>
      <c r="B154" t="s">
        <v>17</v>
      </c>
      <c r="C154" t="s">
        <v>18</v>
      </c>
      <c r="D154" t="s">
        <v>19</v>
      </c>
      <c r="E154" t="s">
        <v>20</v>
      </c>
      <c r="F154" t="s">
        <v>21</v>
      </c>
      <c r="G154" t="s">
        <v>22</v>
      </c>
      <c r="H154" t="s">
        <v>23</v>
      </c>
      <c r="I154" t="s">
        <v>24</v>
      </c>
      <c r="J154" t="s">
        <v>327</v>
      </c>
      <c r="K154" t="s">
        <v>328</v>
      </c>
      <c r="L154">
        <v>91</v>
      </c>
      <c r="M154">
        <v>6</v>
      </c>
      <c r="N154">
        <v>22547430</v>
      </c>
      <c r="O154">
        <v>12</v>
      </c>
      <c r="P154" s="1">
        <f t="shared" si="4"/>
        <v>0.5</v>
      </c>
      <c r="Q154" s="1">
        <f t="shared" si="5"/>
        <v>91.5</v>
      </c>
      <c r="R154" s="1"/>
    </row>
    <row r="155" spans="1:18" x14ac:dyDescent="0.25">
      <c r="A155">
        <v>153</v>
      </c>
      <c r="B155" t="s">
        <v>17</v>
      </c>
      <c r="C155" t="s">
        <v>18</v>
      </c>
      <c r="D155" t="s">
        <v>19</v>
      </c>
      <c r="E155" t="s">
        <v>20</v>
      </c>
      <c r="F155" t="s">
        <v>21</v>
      </c>
      <c r="G155" t="s">
        <v>22</v>
      </c>
      <c r="H155" t="s">
        <v>23</v>
      </c>
      <c r="I155" t="s">
        <v>24</v>
      </c>
      <c r="J155" t="s">
        <v>329</v>
      </c>
      <c r="K155" t="s">
        <v>330</v>
      </c>
      <c r="L155">
        <v>67</v>
      </c>
      <c r="M155">
        <v>5</v>
      </c>
      <c r="N155">
        <v>16005081.68</v>
      </c>
      <c r="O155">
        <v>6</v>
      </c>
      <c r="P155" s="1">
        <f t="shared" si="4"/>
        <v>0.83333333333333337</v>
      </c>
      <c r="Q155" s="1">
        <f t="shared" si="5"/>
        <v>67.833333333333329</v>
      </c>
      <c r="R155" s="1"/>
    </row>
    <row r="156" spans="1:18" x14ac:dyDescent="0.25">
      <c r="A156">
        <v>154</v>
      </c>
      <c r="B156" t="s">
        <v>17</v>
      </c>
      <c r="C156" t="s">
        <v>18</v>
      </c>
      <c r="D156" t="s">
        <v>19</v>
      </c>
      <c r="E156" t="s">
        <v>20</v>
      </c>
      <c r="F156" t="s">
        <v>21</v>
      </c>
      <c r="G156" t="s">
        <v>22</v>
      </c>
      <c r="H156" t="s">
        <v>23</v>
      </c>
      <c r="I156" t="s">
        <v>24</v>
      </c>
      <c r="J156" t="s">
        <v>331</v>
      </c>
      <c r="K156" t="s">
        <v>332</v>
      </c>
      <c r="L156">
        <v>43</v>
      </c>
      <c r="M156">
        <v>3</v>
      </c>
      <c r="N156">
        <v>7087347.2300000004</v>
      </c>
      <c r="O156">
        <v>12</v>
      </c>
      <c r="P156" s="1">
        <f t="shared" si="4"/>
        <v>0.25</v>
      </c>
      <c r="Q156" s="1">
        <f t="shared" si="5"/>
        <v>43.25</v>
      </c>
      <c r="R156" s="1"/>
    </row>
    <row r="157" spans="1:18" x14ac:dyDescent="0.25">
      <c r="A157">
        <v>155</v>
      </c>
      <c r="B157" t="s">
        <v>17</v>
      </c>
      <c r="C157" t="s">
        <v>18</v>
      </c>
      <c r="D157" t="s">
        <v>19</v>
      </c>
      <c r="E157" t="s">
        <v>20</v>
      </c>
      <c r="F157" t="s">
        <v>21</v>
      </c>
      <c r="G157" t="s">
        <v>22</v>
      </c>
      <c r="H157" t="s">
        <v>23</v>
      </c>
      <c r="I157" t="s">
        <v>24</v>
      </c>
      <c r="J157" t="s">
        <v>333</v>
      </c>
      <c r="K157" t="s">
        <v>334</v>
      </c>
      <c r="L157">
        <v>44</v>
      </c>
      <c r="M157">
        <v>0</v>
      </c>
      <c r="N157">
        <v>11802186</v>
      </c>
      <c r="O157">
        <v>4</v>
      </c>
      <c r="P157" s="1">
        <f t="shared" si="4"/>
        <v>0</v>
      </c>
      <c r="Q157" s="1">
        <f t="shared" si="5"/>
        <v>44</v>
      </c>
      <c r="R157" s="1"/>
    </row>
    <row r="158" spans="1:18" x14ac:dyDescent="0.25">
      <c r="A158">
        <v>156</v>
      </c>
      <c r="B158" t="s">
        <v>17</v>
      </c>
      <c r="C158" t="s">
        <v>18</v>
      </c>
      <c r="D158" t="s">
        <v>19</v>
      </c>
      <c r="E158" t="s">
        <v>20</v>
      </c>
      <c r="F158" t="s">
        <v>21</v>
      </c>
      <c r="G158" t="s">
        <v>22</v>
      </c>
      <c r="H158" t="s">
        <v>23</v>
      </c>
      <c r="I158" t="s">
        <v>24</v>
      </c>
      <c r="J158" t="s">
        <v>335</v>
      </c>
      <c r="K158" t="s">
        <v>336</v>
      </c>
      <c r="L158">
        <v>977</v>
      </c>
      <c r="M158">
        <v>8</v>
      </c>
      <c r="N158">
        <v>240916620</v>
      </c>
      <c r="O158">
        <v>12</v>
      </c>
      <c r="P158" s="1">
        <f t="shared" si="4"/>
        <v>0.66666666666666663</v>
      </c>
      <c r="Q158" s="1">
        <f t="shared" si="5"/>
        <v>977.66666666666663</v>
      </c>
      <c r="R158" s="1"/>
    </row>
    <row r="159" spans="1:18" x14ac:dyDescent="0.25">
      <c r="A159">
        <v>157</v>
      </c>
      <c r="B159" t="s">
        <v>17</v>
      </c>
      <c r="C159" t="s">
        <v>18</v>
      </c>
      <c r="D159" t="s">
        <v>19</v>
      </c>
      <c r="E159" t="s">
        <v>20</v>
      </c>
      <c r="F159" t="s">
        <v>21</v>
      </c>
      <c r="G159" t="s">
        <v>22</v>
      </c>
      <c r="H159" t="s">
        <v>23</v>
      </c>
      <c r="I159" t="s">
        <v>24</v>
      </c>
      <c r="J159" t="s">
        <v>337</v>
      </c>
      <c r="K159" t="s">
        <v>338</v>
      </c>
      <c r="L159">
        <v>274</v>
      </c>
      <c r="M159">
        <v>1</v>
      </c>
      <c r="N159">
        <v>64688843.630000003</v>
      </c>
      <c r="O159">
        <v>6</v>
      </c>
      <c r="P159" s="1">
        <f t="shared" si="4"/>
        <v>0.16666666666666666</v>
      </c>
      <c r="Q159" s="1">
        <f t="shared" si="5"/>
        <v>274.16666666666669</v>
      </c>
      <c r="R159" s="1"/>
    </row>
    <row r="160" spans="1:18" x14ac:dyDescent="0.25">
      <c r="A160">
        <v>158</v>
      </c>
      <c r="B160" t="s">
        <v>17</v>
      </c>
      <c r="C160" t="s">
        <v>18</v>
      </c>
      <c r="D160" t="s">
        <v>19</v>
      </c>
      <c r="E160" t="s">
        <v>20</v>
      </c>
      <c r="F160" t="s">
        <v>21</v>
      </c>
      <c r="G160" t="s">
        <v>22</v>
      </c>
      <c r="H160" t="s">
        <v>23</v>
      </c>
      <c r="I160" t="s">
        <v>24</v>
      </c>
      <c r="J160" t="s">
        <v>339</v>
      </c>
      <c r="K160" t="s">
        <v>340</v>
      </c>
      <c r="L160">
        <v>50</v>
      </c>
      <c r="M160">
        <v>0</v>
      </c>
      <c r="N160">
        <v>8193465</v>
      </c>
      <c r="O160">
        <v>12</v>
      </c>
      <c r="P160" s="1">
        <f t="shared" si="4"/>
        <v>0</v>
      </c>
      <c r="Q160" s="1">
        <f t="shared" si="5"/>
        <v>50</v>
      </c>
      <c r="R160" s="1"/>
    </row>
    <row r="161" spans="1:18" x14ac:dyDescent="0.25">
      <c r="A161">
        <v>159</v>
      </c>
      <c r="B161" t="s">
        <v>17</v>
      </c>
      <c r="C161" t="s">
        <v>18</v>
      </c>
      <c r="D161" t="s">
        <v>19</v>
      </c>
      <c r="E161" t="s">
        <v>20</v>
      </c>
      <c r="F161" t="s">
        <v>21</v>
      </c>
      <c r="G161" t="s">
        <v>22</v>
      </c>
      <c r="H161" t="s">
        <v>23</v>
      </c>
      <c r="I161" t="s">
        <v>24</v>
      </c>
      <c r="J161" t="s">
        <v>341</v>
      </c>
      <c r="K161" t="s">
        <v>342</v>
      </c>
      <c r="L161">
        <v>95</v>
      </c>
      <c r="M161">
        <v>0</v>
      </c>
      <c r="N161">
        <v>25481992.5</v>
      </c>
      <c r="O161">
        <v>4</v>
      </c>
      <c r="P161" s="1">
        <f t="shared" si="4"/>
        <v>0</v>
      </c>
      <c r="Q161" s="1">
        <f t="shared" si="5"/>
        <v>95</v>
      </c>
      <c r="R161" s="1"/>
    </row>
    <row r="162" spans="1:18" x14ac:dyDescent="0.25">
      <c r="A162">
        <v>160</v>
      </c>
      <c r="B162" t="s">
        <v>17</v>
      </c>
      <c r="C162" t="s">
        <v>18</v>
      </c>
      <c r="D162" t="s">
        <v>19</v>
      </c>
      <c r="E162" t="s">
        <v>20</v>
      </c>
      <c r="F162" t="s">
        <v>21</v>
      </c>
      <c r="G162" t="s">
        <v>22</v>
      </c>
      <c r="H162" t="s">
        <v>23</v>
      </c>
      <c r="I162" t="s">
        <v>24</v>
      </c>
      <c r="J162" t="s">
        <v>343</v>
      </c>
      <c r="K162" t="s">
        <v>344</v>
      </c>
      <c r="L162">
        <v>36</v>
      </c>
      <c r="M162">
        <v>3</v>
      </c>
      <c r="N162">
        <v>8664743.25</v>
      </c>
      <c r="O162">
        <v>12</v>
      </c>
      <c r="P162" s="1">
        <f t="shared" si="4"/>
        <v>0.25</v>
      </c>
      <c r="Q162" s="1">
        <f t="shared" si="5"/>
        <v>36.25</v>
      </c>
      <c r="R162" s="1"/>
    </row>
    <row r="163" spans="1:18" x14ac:dyDescent="0.25">
      <c r="A163">
        <v>161</v>
      </c>
      <c r="B163" t="s">
        <v>17</v>
      </c>
      <c r="C163" t="s">
        <v>18</v>
      </c>
      <c r="D163" t="s">
        <v>19</v>
      </c>
      <c r="E163" t="s">
        <v>20</v>
      </c>
      <c r="F163" t="s">
        <v>21</v>
      </c>
      <c r="G163" t="s">
        <v>22</v>
      </c>
      <c r="H163" t="s">
        <v>23</v>
      </c>
      <c r="I163" t="s">
        <v>24</v>
      </c>
      <c r="J163" t="s">
        <v>345</v>
      </c>
      <c r="K163" t="s">
        <v>346</v>
      </c>
      <c r="L163">
        <v>30</v>
      </c>
      <c r="M163">
        <v>10</v>
      </c>
      <c r="N163">
        <v>7370011.5</v>
      </c>
      <c r="O163">
        <v>12</v>
      </c>
      <c r="P163" s="1">
        <f t="shared" si="4"/>
        <v>0.83333333333333337</v>
      </c>
      <c r="Q163" s="1">
        <f t="shared" si="5"/>
        <v>30.833333333333332</v>
      </c>
      <c r="R163" s="1"/>
    </row>
    <row r="164" spans="1:18" x14ac:dyDescent="0.25">
      <c r="A164">
        <v>162</v>
      </c>
      <c r="B164" t="s">
        <v>17</v>
      </c>
      <c r="C164" t="s">
        <v>18</v>
      </c>
      <c r="D164" t="s">
        <v>19</v>
      </c>
      <c r="E164" t="s">
        <v>20</v>
      </c>
      <c r="F164" t="s">
        <v>21</v>
      </c>
      <c r="G164" t="s">
        <v>22</v>
      </c>
      <c r="H164" t="s">
        <v>23</v>
      </c>
      <c r="I164" t="s">
        <v>24</v>
      </c>
      <c r="J164" t="s">
        <v>347</v>
      </c>
      <c r="K164" t="s">
        <v>348</v>
      </c>
      <c r="L164">
        <v>2</v>
      </c>
      <c r="M164">
        <v>3</v>
      </c>
      <c r="N164">
        <v>1310261.21</v>
      </c>
      <c r="O164">
        <v>4</v>
      </c>
      <c r="P164" s="1">
        <f t="shared" si="4"/>
        <v>0.75</v>
      </c>
      <c r="Q164" s="1">
        <f t="shared" si="5"/>
        <v>2.75</v>
      </c>
      <c r="R164" s="1"/>
    </row>
    <row r="165" spans="1:18" x14ac:dyDescent="0.25">
      <c r="A165">
        <v>163</v>
      </c>
      <c r="B165" t="s">
        <v>17</v>
      </c>
      <c r="C165" t="s">
        <v>18</v>
      </c>
      <c r="D165" t="s">
        <v>19</v>
      </c>
      <c r="E165" t="s">
        <v>20</v>
      </c>
      <c r="F165" t="s">
        <v>21</v>
      </c>
      <c r="G165" t="s">
        <v>22</v>
      </c>
      <c r="H165" t="s">
        <v>23</v>
      </c>
      <c r="I165" t="s">
        <v>24</v>
      </c>
      <c r="J165" t="s">
        <v>349</v>
      </c>
      <c r="K165" t="s">
        <v>350</v>
      </c>
      <c r="L165">
        <v>4</v>
      </c>
      <c r="M165">
        <v>14</v>
      </c>
      <c r="N165">
        <v>779303.25</v>
      </c>
      <c r="O165">
        <v>24</v>
      </c>
      <c r="P165" s="1">
        <f t="shared" si="4"/>
        <v>0.58333333333333337</v>
      </c>
      <c r="Q165" s="1">
        <f t="shared" si="5"/>
        <v>4.583333333333333</v>
      </c>
      <c r="R165" s="1"/>
    </row>
    <row r="166" spans="1:18" x14ac:dyDescent="0.25">
      <c r="A166">
        <v>164</v>
      </c>
      <c r="B166" t="s">
        <v>17</v>
      </c>
      <c r="C166" t="s">
        <v>18</v>
      </c>
      <c r="D166" t="s">
        <v>19</v>
      </c>
      <c r="E166" t="s">
        <v>20</v>
      </c>
      <c r="F166" t="s">
        <v>21</v>
      </c>
      <c r="G166" t="s">
        <v>22</v>
      </c>
      <c r="H166" t="s">
        <v>23</v>
      </c>
      <c r="I166" t="s">
        <v>24</v>
      </c>
      <c r="J166" t="s">
        <v>351</v>
      </c>
      <c r="K166" t="s">
        <v>352</v>
      </c>
      <c r="L166">
        <v>2</v>
      </c>
      <c r="M166">
        <v>3</v>
      </c>
      <c r="N166">
        <v>407517.08</v>
      </c>
      <c r="O166">
        <v>12</v>
      </c>
      <c r="P166" s="1">
        <f t="shared" si="4"/>
        <v>0.25</v>
      </c>
      <c r="Q166" s="1">
        <f t="shared" si="5"/>
        <v>2.25</v>
      </c>
      <c r="R166" s="1"/>
    </row>
    <row r="167" spans="1:18" x14ac:dyDescent="0.25">
      <c r="A167">
        <v>165</v>
      </c>
      <c r="B167" t="s">
        <v>17</v>
      </c>
      <c r="C167" t="s">
        <v>18</v>
      </c>
      <c r="D167" t="s">
        <v>19</v>
      </c>
      <c r="E167" t="s">
        <v>20</v>
      </c>
      <c r="F167" t="s">
        <v>21</v>
      </c>
      <c r="G167" t="s">
        <v>22</v>
      </c>
      <c r="H167" t="s">
        <v>23</v>
      </c>
      <c r="I167" t="s">
        <v>24</v>
      </c>
      <c r="J167" t="s">
        <v>353</v>
      </c>
      <c r="K167" t="s">
        <v>354</v>
      </c>
      <c r="L167">
        <v>4</v>
      </c>
      <c r="M167">
        <v>13</v>
      </c>
      <c r="N167">
        <v>772218.68</v>
      </c>
      <c r="O167">
        <v>24</v>
      </c>
      <c r="P167" s="1">
        <f t="shared" si="4"/>
        <v>0.54166666666666663</v>
      </c>
      <c r="Q167" s="1">
        <f t="shared" si="5"/>
        <v>4.541666666666667</v>
      </c>
      <c r="R167" s="1"/>
    </row>
    <row r="168" spans="1:18" x14ac:dyDescent="0.25">
      <c r="A168">
        <v>166</v>
      </c>
      <c r="B168" t="s">
        <v>17</v>
      </c>
      <c r="C168" t="s">
        <v>18</v>
      </c>
      <c r="D168" t="s">
        <v>19</v>
      </c>
      <c r="E168" t="s">
        <v>20</v>
      </c>
      <c r="F168" t="s">
        <v>21</v>
      </c>
      <c r="G168" t="s">
        <v>22</v>
      </c>
      <c r="H168" t="s">
        <v>23</v>
      </c>
      <c r="I168" t="s">
        <v>24</v>
      </c>
      <c r="J168" t="s">
        <v>355</v>
      </c>
      <c r="K168" t="s">
        <v>356</v>
      </c>
      <c r="L168">
        <v>0</v>
      </c>
      <c r="M168">
        <v>7</v>
      </c>
      <c r="N168">
        <v>105652.58</v>
      </c>
      <c r="O168">
        <v>12</v>
      </c>
      <c r="P168" s="1">
        <f t="shared" si="4"/>
        <v>0.58333333333333337</v>
      </c>
      <c r="Q168" s="1">
        <f t="shared" si="5"/>
        <v>0.58333333333333337</v>
      </c>
      <c r="R168" s="1"/>
    </row>
    <row r="169" spans="1:18" x14ac:dyDescent="0.25">
      <c r="A169">
        <v>167</v>
      </c>
      <c r="B169" t="s">
        <v>17</v>
      </c>
      <c r="C169" t="s">
        <v>18</v>
      </c>
      <c r="D169" t="s">
        <v>19</v>
      </c>
      <c r="E169" t="s">
        <v>20</v>
      </c>
      <c r="F169" t="s">
        <v>21</v>
      </c>
      <c r="G169" t="s">
        <v>22</v>
      </c>
      <c r="H169" t="s">
        <v>23</v>
      </c>
      <c r="I169" t="s">
        <v>24</v>
      </c>
      <c r="J169" t="s">
        <v>357</v>
      </c>
      <c r="K169" t="s">
        <v>358</v>
      </c>
      <c r="L169">
        <v>2</v>
      </c>
      <c r="M169">
        <v>13</v>
      </c>
      <c r="N169">
        <v>331948.28000000003</v>
      </c>
      <c r="O169">
        <v>24</v>
      </c>
      <c r="P169" s="1">
        <f t="shared" si="4"/>
        <v>0.54166666666666663</v>
      </c>
      <c r="Q169" s="1">
        <f t="shared" si="5"/>
        <v>2.5416666666666665</v>
      </c>
      <c r="R169" s="1"/>
    </row>
    <row r="170" spans="1:18" x14ac:dyDescent="0.25">
      <c r="A170">
        <v>168</v>
      </c>
      <c r="B170" t="s">
        <v>17</v>
      </c>
      <c r="C170" t="s">
        <v>18</v>
      </c>
      <c r="D170" t="s">
        <v>19</v>
      </c>
      <c r="E170" t="s">
        <v>20</v>
      </c>
      <c r="F170" t="s">
        <v>21</v>
      </c>
      <c r="G170" t="s">
        <v>22</v>
      </c>
      <c r="H170" t="s">
        <v>23</v>
      </c>
      <c r="I170" t="s">
        <v>24</v>
      </c>
      <c r="J170" t="s">
        <v>359</v>
      </c>
      <c r="K170" t="s">
        <v>360</v>
      </c>
      <c r="L170">
        <v>2</v>
      </c>
      <c r="M170">
        <v>7</v>
      </c>
      <c r="N170">
        <v>299297.63</v>
      </c>
      <c r="O170">
        <v>24</v>
      </c>
      <c r="P170" s="1">
        <f t="shared" si="4"/>
        <v>0.29166666666666669</v>
      </c>
      <c r="Q170" s="1">
        <f t="shared" si="5"/>
        <v>2.2916666666666665</v>
      </c>
      <c r="R170" s="1"/>
    </row>
    <row r="171" spans="1:18" x14ac:dyDescent="0.25">
      <c r="A171">
        <v>169</v>
      </c>
      <c r="B171" t="s">
        <v>17</v>
      </c>
      <c r="C171" t="s">
        <v>18</v>
      </c>
      <c r="D171" t="s">
        <v>19</v>
      </c>
      <c r="E171" t="s">
        <v>20</v>
      </c>
      <c r="F171" t="s">
        <v>21</v>
      </c>
      <c r="G171" t="s">
        <v>22</v>
      </c>
      <c r="H171" t="s">
        <v>23</v>
      </c>
      <c r="I171" t="s">
        <v>24</v>
      </c>
      <c r="J171" t="s">
        <v>361</v>
      </c>
      <c r="K171" t="s">
        <v>362</v>
      </c>
      <c r="L171">
        <v>12</v>
      </c>
      <c r="M171">
        <v>2</v>
      </c>
      <c r="N171">
        <v>3687675.3</v>
      </c>
      <c r="O171">
        <v>12</v>
      </c>
      <c r="P171" s="1">
        <f t="shared" si="4"/>
        <v>0.16666666666666666</v>
      </c>
      <c r="Q171" s="1">
        <f t="shared" si="5"/>
        <v>12.166666666666666</v>
      </c>
      <c r="R171" s="1"/>
    </row>
    <row r="172" spans="1:18" x14ac:dyDescent="0.25">
      <c r="A172">
        <v>170</v>
      </c>
      <c r="B172" t="s">
        <v>17</v>
      </c>
      <c r="C172" t="s">
        <v>18</v>
      </c>
      <c r="D172" t="s">
        <v>19</v>
      </c>
      <c r="E172" t="s">
        <v>20</v>
      </c>
      <c r="F172" t="s">
        <v>21</v>
      </c>
      <c r="G172" t="s">
        <v>22</v>
      </c>
      <c r="H172" t="s">
        <v>23</v>
      </c>
      <c r="I172" t="s">
        <v>24</v>
      </c>
      <c r="J172" t="s">
        <v>363</v>
      </c>
      <c r="K172" t="s">
        <v>364</v>
      </c>
      <c r="L172">
        <v>6</v>
      </c>
      <c r="M172">
        <v>17</v>
      </c>
      <c r="N172">
        <v>2496131.9300000002</v>
      </c>
      <c r="O172">
        <v>24</v>
      </c>
      <c r="P172" s="1">
        <f t="shared" si="4"/>
        <v>0.70833333333333337</v>
      </c>
      <c r="Q172" s="1">
        <f t="shared" si="5"/>
        <v>6.708333333333333</v>
      </c>
      <c r="R172" s="1"/>
    </row>
    <row r="173" spans="1:18" x14ac:dyDescent="0.25">
      <c r="A173">
        <v>171</v>
      </c>
      <c r="B173" t="s">
        <v>17</v>
      </c>
      <c r="C173" t="s">
        <v>18</v>
      </c>
      <c r="D173" t="s">
        <v>19</v>
      </c>
      <c r="E173" t="s">
        <v>20</v>
      </c>
      <c r="F173" t="s">
        <v>21</v>
      </c>
      <c r="G173" t="s">
        <v>22</v>
      </c>
      <c r="H173" t="s">
        <v>23</v>
      </c>
      <c r="I173" t="s">
        <v>24</v>
      </c>
      <c r="J173" t="s">
        <v>365</v>
      </c>
      <c r="K173" t="s">
        <v>366</v>
      </c>
      <c r="L173">
        <v>0</v>
      </c>
      <c r="M173">
        <v>3</v>
      </c>
      <c r="N173">
        <v>47127.839999999997</v>
      </c>
      <c r="O173">
        <v>24</v>
      </c>
      <c r="P173" s="1">
        <f t="shared" si="4"/>
        <v>0.125</v>
      </c>
      <c r="Q173" s="1">
        <f t="shared" si="5"/>
        <v>0.125</v>
      </c>
      <c r="R173" s="1"/>
    </row>
    <row r="174" spans="1:18" x14ac:dyDescent="0.25">
      <c r="A174">
        <v>172</v>
      </c>
      <c r="B174" t="s">
        <v>17</v>
      </c>
      <c r="C174" t="s">
        <v>18</v>
      </c>
      <c r="D174" t="s">
        <v>19</v>
      </c>
      <c r="E174" t="s">
        <v>20</v>
      </c>
      <c r="F174" t="s">
        <v>21</v>
      </c>
      <c r="G174" t="s">
        <v>22</v>
      </c>
      <c r="H174" t="s">
        <v>23</v>
      </c>
      <c r="I174" t="s">
        <v>24</v>
      </c>
      <c r="J174" t="s">
        <v>367</v>
      </c>
      <c r="K174" t="s">
        <v>368</v>
      </c>
      <c r="L174">
        <v>0</v>
      </c>
      <c r="M174">
        <v>6</v>
      </c>
      <c r="N174">
        <v>94255.679999999993</v>
      </c>
      <c r="O174">
        <v>24</v>
      </c>
      <c r="P174" s="1">
        <f t="shared" si="4"/>
        <v>0.25</v>
      </c>
      <c r="Q174" s="1">
        <f t="shared" si="5"/>
        <v>0.25</v>
      </c>
      <c r="R174" s="1"/>
    </row>
    <row r="175" spans="1:18" x14ac:dyDescent="0.25">
      <c r="A175">
        <v>173</v>
      </c>
      <c r="B175" t="s">
        <v>17</v>
      </c>
      <c r="C175" t="s">
        <v>18</v>
      </c>
      <c r="D175" t="s">
        <v>19</v>
      </c>
      <c r="E175" t="s">
        <v>20</v>
      </c>
      <c r="F175" t="s">
        <v>21</v>
      </c>
      <c r="G175" t="s">
        <v>22</v>
      </c>
      <c r="H175" t="s">
        <v>23</v>
      </c>
      <c r="I175" t="s">
        <v>24</v>
      </c>
      <c r="J175" t="s">
        <v>369</v>
      </c>
      <c r="K175" t="s">
        <v>370</v>
      </c>
      <c r="L175">
        <v>0</v>
      </c>
      <c r="M175">
        <v>3</v>
      </c>
      <c r="N175">
        <v>47127.839999999997</v>
      </c>
      <c r="O175">
        <v>24</v>
      </c>
      <c r="P175" s="1">
        <f t="shared" si="4"/>
        <v>0.125</v>
      </c>
      <c r="Q175" s="1">
        <f t="shared" si="5"/>
        <v>0.125</v>
      </c>
      <c r="R175" s="1"/>
    </row>
    <row r="176" spans="1:18" x14ac:dyDescent="0.25">
      <c r="A176">
        <v>174</v>
      </c>
      <c r="B176" t="s">
        <v>17</v>
      </c>
      <c r="C176" t="s">
        <v>18</v>
      </c>
      <c r="D176" t="s">
        <v>19</v>
      </c>
      <c r="E176" t="s">
        <v>20</v>
      </c>
      <c r="F176" t="s">
        <v>21</v>
      </c>
      <c r="G176" t="s">
        <v>22</v>
      </c>
      <c r="H176" t="s">
        <v>23</v>
      </c>
      <c r="I176" t="s">
        <v>24</v>
      </c>
      <c r="J176" t="s">
        <v>371</v>
      </c>
      <c r="K176" t="s">
        <v>372</v>
      </c>
      <c r="L176">
        <v>0</v>
      </c>
      <c r="M176">
        <v>1</v>
      </c>
      <c r="N176">
        <v>15709.28</v>
      </c>
      <c r="O176">
        <v>24</v>
      </c>
      <c r="P176" s="1">
        <f t="shared" si="4"/>
        <v>4.1666666666666664E-2</v>
      </c>
      <c r="Q176" s="1">
        <f t="shared" si="5"/>
        <v>4.1666666666666664E-2</v>
      </c>
      <c r="R176" s="1"/>
    </row>
    <row r="177" spans="1:18" x14ac:dyDescent="0.25">
      <c r="A177">
        <v>175</v>
      </c>
      <c r="B177" t="s">
        <v>17</v>
      </c>
      <c r="C177" t="s">
        <v>18</v>
      </c>
      <c r="D177" t="s">
        <v>19</v>
      </c>
      <c r="E177" t="s">
        <v>20</v>
      </c>
      <c r="F177" t="s">
        <v>21</v>
      </c>
      <c r="G177" t="s">
        <v>22</v>
      </c>
      <c r="H177" t="s">
        <v>23</v>
      </c>
      <c r="I177" t="s">
        <v>24</v>
      </c>
      <c r="J177" t="s">
        <v>373</v>
      </c>
      <c r="K177" t="s">
        <v>374</v>
      </c>
      <c r="L177">
        <v>0</v>
      </c>
      <c r="M177">
        <v>2</v>
      </c>
      <c r="N177">
        <v>31418.560000000001</v>
      </c>
      <c r="O177">
        <v>24</v>
      </c>
      <c r="P177" s="1">
        <f t="shared" si="4"/>
        <v>8.3333333333333329E-2</v>
      </c>
      <c r="Q177" s="1">
        <f t="shared" si="5"/>
        <v>8.3333333333333329E-2</v>
      </c>
      <c r="R177" s="1"/>
    </row>
    <row r="178" spans="1:18" x14ac:dyDescent="0.25">
      <c r="A178">
        <v>176</v>
      </c>
      <c r="B178" t="s">
        <v>17</v>
      </c>
      <c r="C178" t="s">
        <v>18</v>
      </c>
      <c r="D178" t="s">
        <v>19</v>
      </c>
      <c r="E178" t="s">
        <v>20</v>
      </c>
      <c r="F178" t="s">
        <v>21</v>
      </c>
      <c r="G178" t="s">
        <v>22</v>
      </c>
      <c r="H178" t="s">
        <v>23</v>
      </c>
      <c r="I178" t="s">
        <v>24</v>
      </c>
      <c r="J178" t="s">
        <v>375</v>
      </c>
      <c r="K178" t="s">
        <v>376</v>
      </c>
      <c r="L178">
        <v>5</v>
      </c>
      <c r="M178">
        <v>5</v>
      </c>
      <c r="N178">
        <v>1578628.13</v>
      </c>
      <c r="O178">
        <v>24</v>
      </c>
      <c r="P178" s="1">
        <f t="shared" si="4"/>
        <v>0.20833333333333334</v>
      </c>
      <c r="Q178" s="1">
        <f t="shared" si="5"/>
        <v>5.208333333333333</v>
      </c>
      <c r="R178" s="1"/>
    </row>
    <row r="179" spans="1:18" x14ac:dyDescent="0.25">
      <c r="A179">
        <v>177</v>
      </c>
      <c r="B179" t="s">
        <v>17</v>
      </c>
      <c r="C179" t="s">
        <v>18</v>
      </c>
      <c r="D179" t="s">
        <v>19</v>
      </c>
      <c r="E179" t="s">
        <v>20</v>
      </c>
      <c r="F179" t="s">
        <v>21</v>
      </c>
      <c r="G179" t="s">
        <v>22</v>
      </c>
      <c r="H179" t="s">
        <v>23</v>
      </c>
      <c r="I179" t="s">
        <v>24</v>
      </c>
      <c r="J179" t="s">
        <v>377</v>
      </c>
      <c r="K179" t="s">
        <v>378</v>
      </c>
      <c r="L179">
        <v>12</v>
      </c>
      <c r="M179">
        <v>0</v>
      </c>
      <c r="N179">
        <v>5026062.24</v>
      </c>
      <c r="O179">
        <v>4</v>
      </c>
      <c r="P179" s="1">
        <f t="shared" si="4"/>
        <v>0</v>
      </c>
      <c r="Q179" s="1">
        <f t="shared" si="5"/>
        <v>12</v>
      </c>
      <c r="R179" s="1"/>
    </row>
    <row r="180" spans="1:18" x14ac:dyDescent="0.25">
      <c r="A180">
        <v>178</v>
      </c>
      <c r="B180" t="s">
        <v>17</v>
      </c>
      <c r="C180" t="s">
        <v>18</v>
      </c>
      <c r="D180" t="s">
        <v>19</v>
      </c>
      <c r="E180" t="s">
        <v>20</v>
      </c>
      <c r="F180" t="s">
        <v>21</v>
      </c>
      <c r="G180" t="s">
        <v>22</v>
      </c>
      <c r="H180" t="s">
        <v>23</v>
      </c>
      <c r="I180" t="s">
        <v>24</v>
      </c>
      <c r="J180" t="s">
        <v>379</v>
      </c>
      <c r="K180" t="s">
        <v>380</v>
      </c>
      <c r="L180">
        <v>3</v>
      </c>
      <c r="M180">
        <v>4</v>
      </c>
      <c r="N180">
        <v>1215261.3</v>
      </c>
      <c r="O180">
        <v>6</v>
      </c>
      <c r="P180" s="1">
        <f t="shared" si="4"/>
        <v>0.66666666666666663</v>
      </c>
      <c r="Q180" s="1">
        <f t="shared" si="5"/>
        <v>3.6666666666666665</v>
      </c>
      <c r="R180" s="1"/>
    </row>
    <row r="181" spans="1:18" x14ac:dyDescent="0.25">
      <c r="A181">
        <v>179</v>
      </c>
      <c r="B181" t="s">
        <v>17</v>
      </c>
      <c r="C181" t="s">
        <v>18</v>
      </c>
      <c r="D181" t="s">
        <v>19</v>
      </c>
      <c r="E181" t="s">
        <v>20</v>
      </c>
      <c r="F181" t="s">
        <v>21</v>
      </c>
      <c r="G181" t="s">
        <v>22</v>
      </c>
      <c r="H181" t="s">
        <v>23</v>
      </c>
      <c r="I181" t="s">
        <v>24</v>
      </c>
      <c r="J181" t="s">
        <v>381</v>
      </c>
      <c r="K181" t="s">
        <v>382</v>
      </c>
      <c r="L181">
        <v>14</v>
      </c>
      <c r="M181">
        <v>0</v>
      </c>
      <c r="N181">
        <v>5863739.2800000003</v>
      </c>
      <c r="O181">
        <v>4</v>
      </c>
      <c r="P181" s="1">
        <f t="shared" si="4"/>
        <v>0</v>
      </c>
      <c r="Q181" s="1">
        <f t="shared" si="5"/>
        <v>14</v>
      </c>
      <c r="R181" s="1"/>
    </row>
    <row r="182" spans="1:18" x14ac:dyDescent="0.25">
      <c r="A182">
        <v>180</v>
      </c>
      <c r="B182" t="s">
        <v>17</v>
      </c>
      <c r="C182" t="s">
        <v>18</v>
      </c>
      <c r="D182" t="s">
        <v>19</v>
      </c>
      <c r="E182" t="s">
        <v>20</v>
      </c>
      <c r="F182" t="s">
        <v>21</v>
      </c>
      <c r="G182" t="s">
        <v>22</v>
      </c>
      <c r="H182" t="s">
        <v>23</v>
      </c>
      <c r="I182" t="s">
        <v>24</v>
      </c>
      <c r="J182" t="s">
        <v>383</v>
      </c>
      <c r="K182" t="s">
        <v>384</v>
      </c>
      <c r="L182">
        <v>31</v>
      </c>
      <c r="M182">
        <v>3</v>
      </c>
      <c r="N182">
        <v>10440199.35</v>
      </c>
      <c r="O182">
        <v>6</v>
      </c>
      <c r="P182" s="1">
        <f t="shared" si="4"/>
        <v>0.5</v>
      </c>
      <c r="Q182" s="1">
        <f t="shared" si="5"/>
        <v>31.5</v>
      </c>
      <c r="R182" s="1"/>
    </row>
    <row r="183" spans="1:18" x14ac:dyDescent="0.25">
      <c r="A183">
        <v>181</v>
      </c>
      <c r="B183" t="s">
        <v>17</v>
      </c>
      <c r="C183" t="s">
        <v>18</v>
      </c>
      <c r="D183" t="s">
        <v>19</v>
      </c>
      <c r="E183" t="s">
        <v>20</v>
      </c>
      <c r="F183" t="s">
        <v>21</v>
      </c>
      <c r="G183" t="s">
        <v>22</v>
      </c>
      <c r="H183" t="s">
        <v>23</v>
      </c>
      <c r="I183" t="s">
        <v>24</v>
      </c>
      <c r="J183" t="s">
        <v>385</v>
      </c>
      <c r="K183" t="s">
        <v>386</v>
      </c>
      <c r="L183">
        <v>5</v>
      </c>
      <c r="M183">
        <v>4</v>
      </c>
      <c r="N183">
        <v>1412808</v>
      </c>
      <c r="O183">
        <v>12</v>
      </c>
      <c r="P183" s="1">
        <f t="shared" si="4"/>
        <v>0.33333333333333331</v>
      </c>
      <c r="Q183" s="1">
        <f t="shared" si="5"/>
        <v>5.333333333333333</v>
      </c>
      <c r="R183" s="1"/>
    </row>
    <row r="184" spans="1:18" x14ac:dyDescent="0.25">
      <c r="A184">
        <v>182</v>
      </c>
      <c r="B184" t="s">
        <v>17</v>
      </c>
      <c r="C184" t="s">
        <v>18</v>
      </c>
      <c r="D184" t="s">
        <v>19</v>
      </c>
      <c r="E184" t="s">
        <v>20</v>
      </c>
      <c r="F184" t="s">
        <v>21</v>
      </c>
      <c r="G184" t="s">
        <v>22</v>
      </c>
      <c r="H184" t="s">
        <v>23</v>
      </c>
      <c r="I184" t="s">
        <v>24</v>
      </c>
      <c r="J184" t="s">
        <v>387</v>
      </c>
      <c r="K184" t="s">
        <v>388</v>
      </c>
      <c r="L184">
        <v>0</v>
      </c>
      <c r="M184">
        <v>5</v>
      </c>
      <c r="N184">
        <v>174034.13</v>
      </c>
      <c r="O184">
        <v>12</v>
      </c>
      <c r="P184" s="1">
        <f t="shared" si="4"/>
        <v>0.41666666666666669</v>
      </c>
      <c r="Q184" s="1">
        <f t="shared" si="5"/>
        <v>0.41666666666666669</v>
      </c>
      <c r="R184" s="1"/>
    </row>
    <row r="185" spans="1:18" x14ac:dyDescent="0.25">
      <c r="A185">
        <v>183</v>
      </c>
      <c r="B185" t="s">
        <v>17</v>
      </c>
      <c r="C185" t="s">
        <v>18</v>
      </c>
      <c r="D185" t="s">
        <v>19</v>
      </c>
      <c r="E185" t="s">
        <v>20</v>
      </c>
      <c r="F185" t="s">
        <v>21</v>
      </c>
      <c r="G185" t="s">
        <v>22</v>
      </c>
      <c r="H185" t="s">
        <v>23</v>
      </c>
      <c r="I185" t="s">
        <v>24</v>
      </c>
      <c r="J185" t="s">
        <v>389</v>
      </c>
      <c r="K185" t="s">
        <v>390</v>
      </c>
      <c r="L185">
        <v>12</v>
      </c>
      <c r="M185">
        <v>2</v>
      </c>
      <c r="N185">
        <v>5235481.5</v>
      </c>
      <c r="O185">
        <v>4</v>
      </c>
      <c r="P185" s="1">
        <f t="shared" si="4"/>
        <v>0.5</v>
      </c>
      <c r="Q185" s="1">
        <f t="shared" si="5"/>
        <v>12.5</v>
      </c>
      <c r="R185" s="1"/>
    </row>
    <row r="186" spans="1:18" x14ac:dyDescent="0.25">
      <c r="A186">
        <v>184</v>
      </c>
      <c r="B186" t="s">
        <v>17</v>
      </c>
      <c r="C186" t="s">
        <v>18</v>
      </c>
      <c r="D186" t="s">
        <v>19</v>
      </c>
      <c r="E186" t="s">
        <v>20</v>
      </c>
      <c r="F186" t="s">
        <v>21</v>
      </c>
      <c r="G186" t="s">
        <v>22</v>
      </c>
      <c r="H186" t="s">
        <v>23</v>
      </c>
      <c r="I186" t="s">
        <v>24</v>
      </c>
      <c r="J186" t="s">
        <v>391</v>
      </c>
      <c r="K186" t="s">
        <v>392</v>
      </c>
      <c r="L186">
        <v>7</v>
      </c>
      <c r="M186">
        <v>1</v>
      </c>
      <c r="N186">
        <v>2375283.4500000002</v>
      </c>
      <c r="O186">
        <v>6</v>
      </c>
      <c r="P186" s="1">
        <f t="shared" si="4"/>
        <v>0.16666666666666666</v>
      </c>
      <c r="Q186" s="1">
        <f t="shared" si="5"/>
        <v>7.166666666666667</v>
      </c>
      <c r="R186" s="1"/>
    </row>
    <row r="187" spans="1:18" x14ac:dyDescent="0.25">
      <c r="A187">
        <v>185</v>
      </c>
      <c r="B187" t="s">
        <v>17</v>
      </c>
      <c r="C187" t="s">
        <v>18</v>
      </c>
      <c r="D187" t="s">
        <v>19</v>
      </c>
      <c r="E187" t="s">
        <v>20</v>
      </c>
      <c r="F187" t="s">
        <v>21</v>
      </c>
      <c r="G187" t="s">
        <v>22</v>
      </c>
      <c r="H187" t="s">
        <v>23</v>
      </c>
      <c r="I187" t="s">
        <v>24</v>
      </c>
      <c r="J187" t="s">
        <v>393</v>
      </c>
      <c r="K187" t="s">
        <v>394</v>
      </c>
      <c r="L187">
        <v>6</v>
      </c>
      <c r="M187">
        <v>2</v>
      </c>
      <c r="N187">
        <v>1633559.25</v>
      </c>
      <c r="O187">
        <v>12</v>
      </c>
      <c r="P187" s="1">
        <f t="shared" si="4"/>
        <v>0.16666666666666666</v>
      </c>
      <c r="Q187" s="1">
        <f t="shared" si="5"/>
        <v>6.166666666666667</v>
      </c>
      <c r="R187" s="1"/>
    </row>
    <row r="188" spans="1:18" x14ac:dyDescent="0.25">
      <c r="A188">
        <v>186</v>
      </c>
      <c r="B188" t="s">
        <v>17</v>
      </c>
      <c r="C188" t="s">
        <v>18</v>
      </c>
      <c r="D188" t="s">
        <v>19</v>
      </c>
      <c r="E188" t="s">
        <v>20</v>
      </c>
      <c r="F188" t="s">
        <v>21</v>
      </c>
      <c r="G188" t="s">
        <v>22</v>
      </c>
      <c r="H188" t="s">
        <v>23</v>
      </c>
      <c r="I188" t="s">
        <v>24</v>
      </c>
      <c r="J188" t="s">
        <v>395</v>
      </c>
      <c r="K188" t="s">
        <v>396</v>
      </c>
      <c r="L188">
        <v>0</v>
      </c>
      <c r="M188">
        <v>0</v>
      </c>
      <c r="N188">
        <v>0</v>
      </c>
      <c r="O188">
        <v>12</v>
      </c>
      <c r="P188" s="1">
        <f t="shared" si="4"/>
        <v>0</v>
      </c>
      <c r="Q188" s="1">
        <f t="shared" si="5"/>
        <v>0</v>
      </c>
      <c r="R188" s="1"/>
    </row>
    <row r="189" spans="1:18" x14ac:dyDescent="0.25">
      <c r="A189">
        <v>187</v>
      </c>
      <c r="B189" t="s">
        <v>17</v>
      </c>
      <c r="C189" t="s">
        <v>18</v>
      </c>
      <c r="D189" t="s">
        <v>19</v>
      </c>
      <c r="E189" t="s">
        <v>20</v>
      </c>
      <c r="F189" t="s">
        <v>21</v>
      </c>
      <c r="G189" t="s">
        <v>22</v>
      </c>
      <c r="H189" t="s">
        <v>23</v>
      </c>
      <c r="I189" t="s">
        <v>24</v>
      </c>
      <c r="J189" t="s">
        <v>397</v>
      </c>
      <c r="K189" t="s">
        <v>398</v>
      </c>
      <c r="L189">
        <v>4</v>
      </c>
      <c r="M189">
        <v>0</v>
      </c>
      <c r="N189">
        <v>842756.4</v>
      </c>
      <c r="O189">
        <v>12</v>
      </c>
      <c r="P189" s="1">
        <f t="shared" si="4"/>
        <v>0</v>
      </c>
      <c r="Q189" s="1">
        <f t="shared" si="5"/>
        <v>4</v>
      </c>
      <c r="R189" s="1"/>
    </row>
    <row r="190" spans="1:18" x14ac:dyDescent="0.25">
      <c r="A190">
        <v>188</v>
      </c>
      <c r="B190" t="s">
        <v>17</v>
      </c>
      <c r="C190" t="s">
        <v>18</v>
      </c>
      <c r="D190" t="s">
        <v>19</v>
      </c>
      <c r="E190" t="s">
        <v>20</v>
      </c>
      <c r="F190" t="s">
        <v>21</v>
      </c>
      <c r="G190" t="s">
        <v>22</v>
      </c>
      <c r="H190" t="s">
        <v>23</v>
      </c>
      <c r="I190" t="s">
        <v>24</v>
      </c>
      <c r="J190" t="s">
        <v>399</v>
      </c>
      <c r="K190" t="s">
        <v>400</v>
      </c>
      <c r="L190">
        <v>4</v>
      </c>
      <c r="M190">
        <v>0</v>
      </c>
      <c r="N190">
        <v>842756.4</v>
      </c>
      <c r="O190">
        <v>12</v>
      </c>
      <c r="P190" s="1">
        <f t="shared" si="4"/>
        <v>0</v>
      </c>
      <c r="Q190" s="1">
        <f t="shared" si="5"/>
        <v>4</v>
      </c>
      <c r="R190" s="1"/>
    </row>
    <row r="191" spans="1:18" x14ac:dyDescent="0.25">
      <c r="A191">
        <v>189</v>
      </c>
      <c r="B191" t="s">
        <v>17</v>
      </c>
      <c r="C191" t="s">
        <v>18</v>
      </c>
      <c r="D191" t="s">
        <v>19</v>
      </c>
      <c r="E191" t="s">
        <v>20</v>
      </c>
      <c r="F191" t="s">
        <v>21</v>
      </c>
      <c r="G191" t="s">
        <v>22</v>
      </c>
      <c r="H191" t="s">
        <v>23</v>
      </c>
      <c r="I191" t="s">
        <v>24</v>
      </c>
      <c r="J191" t="s">
        <v>401</v>
      </c>
      <c r="K191" t="s">
        <v>402</v>
      </c>
      <c r="L191">
        <v>4</v>
      </c>
      <c r="M191">
        <v>0</v>
      </c>
      <c r="N191">
        <v>842756.4</v>
      </c>
      <c r="O191">
        <v>12</v>
      </c>
      <c r="P191" s="1">
        <f t="shared" si="4"/>
        <v>0</v>
      </c>
      <c r="Q191" s="1">
        <f t="shared" si="5"/>
        <v>4</v>
      </c>
      <c r="R191" s="1"/>
    </row>
    <row r="192" spans="1:18" x14ac:dyDescent="0.25">
      <c r="A192">
        <v>190</v>
      </c>
      <c r="B192" t="s">
        <v>17</v>
      </c>
      <c r="C192" t="s">
        <v>18</v>
      </c>
      <c r="D192" t="s">
        <v>19</v>
      </c>
      <c r="E192" t="s">
        <v>20</v>
      </c>
      <c r="F192" t="s">
        <v>21</v>
      </c>
      <c r="G192" t="s">
        <v>22</v>
      </c>
      <c r="H192" t="s">
        <v>23</v>
      </c>
      <c r="I192" t="s">
        <v>24</v>
      </c>
      <c r="J192" t="s">
        <v>403</v>
      </c>
      <c r="K192" t="s">
        <v>404</v>
      </c>
      <c r="L192">
        <v>3</v>
      </c>
      <c r="M192">
        <v>2</v>
      </c>
      <c r="N192">
        <v>889576.2</v>
      </c>
      <c r="O192">
        <v>12</v>
      </c>
      <c r="P192" s="1">
        <f t="shared" si="4"/>
        <v>0.16666666666666666</v>
      </c>
      <c r="Q192" s="1">
        <f t="shared" si="5"/>
        <v>3.1666666666666665</v>
      </c>
      <c r="R192" s="1"/>
    </row>
    <row r="193" spans="1:18" x14ac:dyDescent="0.25">
      <c r="A193">
        <v>191</v>
      </c>
      <c r="B193" t="s">
        <v>17</v>
      </c>
      <c r="C193" t="s">
        <v>18</v>
      </c>
      <c r="D193" t="s">
        <v>19</v>
      </c>
      <c r="E193" t="s">
        <v>20</v>
      </c>
      <c r="F193" t="s">
        <v>21</v>
      </c>
      <c r="G193" t="s">
        <v>22</v>
      </c>
      <c r="H193" t="s">
        <v>23</v>
      </c>
      <c r="I193" t="s">
        <v>24</v>
      </c>
      <c r="J193" t="s">
        <v>405</v>
      </c>
      <c r="K193" t="s">
        <v>406</v>
      </c>
      <c r="L193">
        <v>7</v>
      </c>
      <c r="M193">
        <v>2</v>
      </c>
      <c r="N193">
        <v>1218546.8999999999</v>
      </c>
      <c r="O193">
        <v>12</v>
      </c>
      <c r="P193" s="1">
        <f t="shared" si="4"/>
        <v>0.16666666666666666</v>
      </c>
      <c r="Q193" s="1">
        <f t="shared" si="5"/>
        <v>7.166666666666667</v>
      </c>
      <c r="R19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WEB-PROG</dc:creator>
  <cp:lastModifiedBy>WEB-PROG</cp:lastModifiedBy>
  <dcterms:created xsi:type="dcterms:W3CDTF">2026-08-10T01:49:47Z</dcterms:created>
  <dcterms:modified xsi:type="dcterms:W3CDTF">2026-08-10T02:38:45Z</dcterms:modified>
</cp:coreProperties>
</file>